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Sheet1!$A$1:$AC$647</definedName>
  </definedNames>
  <calcPr fullCalcOnLoad="1"/>
</workbook>
</file>

<file path=xl/sharedStrings.xml><?xml version="1.0" encoding="utf-8"?>
<sst xmlns="http://schemas.openxmlformats.org/spreadsheetml/2006/main" count="13231" uniqueCount="344">
  <si>
    <t xml:space="preserve">age </t>
  </si>
  <si>
    <t xml:space="preserve"> education 
</t>
  </si>
  <si>
    <t xml:space="preserve"> district</t>
  </si>
  <si>
    <t>No_Familymembers</t>
  </si>
  <si>
    <t xml:space="preserve"> gender</t>
  </si>
  <si>
    <t xml:space="preserve">height </t>
  </si>
  <si>
    <t xml:space="preserve"> weight </t>
  </si>
  <si>
    <t>BMI</t>
  </si>
  <si>
    <t>bmi_score</t>
  </si>
  <si>
    <t>meals_per_day</t>
  </si>
  <si>
    <t xml:space="preserve">main food </t>
  </si>
  <si>
    <t>Protein_Foods</t>
  </si>
  <si>
    <t>fruit_Intake</t>
  </si>
  <si>
    <t>Vegetable_Intake</t>
  </si>
  <si>
    <t>Cooking_Oil_Type</t>
  </si>
  <si>
    <t>Medical_Conditions</t>
  </si>
  <si>
    <t>disease_score</t>
  </si>
  <si>
    <t>Fatigue_Status</t>
  </si>
  <si>
    <t>Food_Allergy</t>
  </si>
  <si>
    <t>Activity_Level</t>
  </si>
  <si>
    <t>activity_score</t>
  </si>
  <si>
    <t>Sleep_Hours</t>
  </si>
  <si>
    <t>sleep_score</t>
  </si>
  <si>
    <t>Tobacco_Alcohol_Use</t>
  </si>
  <si>
    <t>Sunlight_Exposure</t>
  </si>
  <si>
    <t>Supplements_Used</t>
  </si>
  <si>
    <t>Pregnant_Status</t>
  </si>
  <si>
    <t>Breastfeeding_Status</t>
  </si>
  <si>
    <t>Menstrual_Regularity</t>
  </si>
  <si>
    <t>risk_score</t>
  </si>
  <si>
    <t>health_risk</t>
  </si>
  <si>
    <t>35–44</t>
  </si>
  <si>
    <t>High School</t>
  </si>
  <si>
    <t>Galle</t>
  </si>
  <si>
    <t>Female</t>
  </si>
  <si>
    <t>Curry</t>
  </si>
  <si>
    <t>Chicken</t>
  </si>
  <si>
    <t>2–3 times per week</t>
  </si>
  <si>
    <t>At every meal</t>
  </si>
  <si>
    <t>Vegetable Oil</t>
  </si>
  <si>
    <t>Diabetes</t>
  </si>
  <si>
    <t>Never</t>
  </si>
  <si>
    <t>No</t>
  </si>
  <si>
    <t>Mostly sitting</t>
  </si>
  <si>
    <t>7–8 hours</t>
  </si>
  <si>
    <t>None</t>
  </si>
  <si>
    <t>Mostly indoors</t>
  </si>
  <si>
    <t>Calcium</t>
  </si>
  <si>
    <t>Yes</t>
  </si>
  <si>
    <t>18–24</t>
  </si>
  <si>
    <t>Colombo</t>
  </si>
  <si>
    <t>Male</t>
  </si>
  <si>
    <t>Pasta</t>
  </si>
  <si>
    <t>Beans, Chicken, Beef</t>
  </si>
  <si>
    <t>Daily</t>
  </si>
  <si>
    <t>Cholesterol</t>
  </si>
  <si>
    <t>Sometimes</t>
  </si>
  <si>
    <t>Less than 6 hours</t>
  </si>
  <si>
    <t>30-60 min</t>
  </si>
  <si>
    <t>PhD</t>
  </si>
  <si>
    <t>Monaragala</t>
  </si>
  <si>
    <t>Salad</t>
  </si>
  <si>
    <t>Eggs, Tofu, Chicken</t>
  </si>
  <si>
    <t>Coconut Oil</t>
  </si>
  <si>
    <t>More than 1 hour</t>
  </si>
  <si>
    <t>Multivitamin</t>
  </si>
  <si>
    <t>Diploma</t>
  </si>
  <si>
    <t>Eggs, Beans, Fish</t>
  </si>
  <si>
    <t>Butter</t>
  </si>
  <si>
    <t>6–7 hours</t>
  </si>
  <si>
    <t>Alcohol</t>
  </si>
  <si>
    <t>Secondary</t>
  </si>
  <si>
    <t>Rice</t>
  </si>
  <si>
    <t>Fish, Tofu</t>
  </si>
  <si>
    <t>Olive Oil</t>
  </si>
  <si>
    <t>15–30 minutes</t>
  </si>
  <si>
    <t>25–34</t>
  </si>
  <si>
    <t>Primary</t>
  </si>
  <si>
    <t>Kandy</t>
  </si>
  <si>
    <t>Eggs, Beans</t>
  </si>
  <si>
    <t>Sunflower Oil</t>
  </si>
  <si>
    <t>None of the above</t>
  </si>
  <si>
    <t>Heavy physical work</t>
  </si>
  <si>
    <t>Both</t>
  </si>
  <si>
    <t>Bachelor's</t>
  </si>
  <si>
    <t>Beef, Beans, Eggs</t>
  </si>
  <si>
    <t>Bread</t>
  </si>
  <si>
    <t>Chicken, Beef</t>
  </si>
  <si>
    <t>Fish, Chicken</t>
  </si>
  <si>
    <t>Often</t>
  </si>
  <si>
    <t>Eggs, Tofu, Fish</t>
  </si>
  <si>
    <t>Tofu, Fish</t>
  </si>
  <si>
    <t>Vitamin D</t>
  </si>
  <si>
    <t>Master's</t>
  </si>
  <si>
    <t>Beans</t>
  </si>
  <si>
    <t>Chicken, Beef, Eggs</t>
  </si>
  <si>
    <t>Moderate activity</t>
  </si>
  <si>
    <t>More than 8 hours</t>
  </si>
  <si>
    <t>Beef, Beans, Chicken</t>
  </si>
  <si>
    <t>Light activity (housework/farming)</t>
  </si>
  <si>
    <t>Eggs, Tofu</t>
  </si>
  <si>
    <t>Chicken, Beans</t>
  </si>
  <si>
    <t>Tobacco</t>
  </si>
  <si>
    <t>Chicken, Fish</t>
  </si>
  <si>
    <t>Beef, Tofu, Fish</t>
  </si>
  <si>
    <t>Noodles</t>
  </si>
  <si>
    <t>Eggs, Beef, Fish</t>
  </si>
  <si>
    <t>Eggs, Fish</t>
  </si>
  <si>
    <t>Tofu</t>
  </si>
  <si>
    <t>Chicken, Beans, Tofu</t>
  </si>
  <si>
    <t>Mathara</t>
  </si>
  <si>
    <t>Beans, Tofu</t>
  </si>
  <si>
    <t>Beans, Chicken</t>
  </si>
  <si>
    <t>Beans, Eggs</t>
  </si>
  <si>
    <t>Fish, Eggs, Beans</t>
  </si>
  <si>
    <t>Chicken, Tofu, Fish</t>
  </si>
  <si>
    <t>Tofu, Chicken</t>
  </si>
  <si>
    <t>Chicken, Beans, Eggs</t>
  </si>
  <si>
    <t>Rarely</t>
  </si>
  <si>
    <t>Eggs, Tofu, Beans</t>
  </si>
  <si>
    <t>Kurunagala</t>
  </si>
  <si>
    <t>Fish, Eggs</t>
  </si>
  <si>
    <t>Anuradhapura</t>
  </si>
  <si>
    <t>Beef, Beans</t>
  </si>
  <si>
    <t>Eggs, Chicken</t>
  </si>
  <si>
    <t>Fish, Beans</t>
  </si>
  <si>
    <t>Gampaha</t>
  </si>
  <si>
    <t>Fish, Eggs, Tofu</t>
  </si>
  <si>
    <t>Beef, Eggs, Beans</t>
  </si>
  <si>
    <t>Eggs</t>
  </si>
  <si>
    <t>45–54 years</t>
  </si>
  <si>
    <t>Fish, Chicken, Beans</t>
  </si>
  <si>
    <t>High Blood Pressure</t>
  </si>
  <si>
    <t>Chicken, Eggs</t>
  </si>
  <si>
    <t>Eggs, Fish, Beef</t>
  </si>
  <si>
    <t>Tofu, Beans, Fish</t>
  </si>
  <si>
    <t>Tofu, Eggs, Beans</t>
  </si>
  <si>
    <t>Tofu, Eggs</t>
  </si>
  <si>
    <t>Tofu, Fish, Beef</t>
  </si>
  <si>
    <t>Tofu, Beans</t>
  </si>
  <si>
    <t>Beans, Fish</t>
  </si>
  <si>
    <t>Hambanthota</t>
  </si>
  <si>
    <t>Beef, Eggs, Tofu</t>
  </si>
  <si>
    <t>Beans, Beef</t>
  </si>
  <si>
    <t>Beans, Fish, Eggs</t>
  </si>
  <si>
    <t>Tofu, Beef</t>
  </si>
  <si>
    <t>Eggs, Beef</t>
  </si>
  <si>
    <t>Beef</t>
  </si>
  <si>
    <t>Eggs, Fish, Chicken</t>
  </si>
  <si>
    <t xml:space="preserve">45–54 </t>
  </si>
  <si>
    <t>Beef, Chicken</t>
  </si>
  <si>
    <t>Tofu, Chicken, Beef</t>
  </si>
  <si>
    <t>Fish</t>
  </si>
  <si>
    <t>Eggs, Beef, Beans</t>
  </si>
  <si>
    <t>Chicken, Eggs, Tofu</t>
  </si>
  <si>
    <t>Beans, Beef, Fish</t>
  </si>
  <si>
    <t>Eggs, Beans, Chicken</t>
  </si>
  <si>
    <t>Beef, Tofu, Beans</t>
  </si>
  <si>
    <t>Fish, Tofu, Beef</t>
  </si>
  <si>
    <t>Chicken, Eggs, Beef</t>
  </si>
  <si>
    <t>Beef, Beans, Tofu</t>
  </si>
  <si>
    <t>Chicken, Beans, Beef</t>
  </si>
  <si>
    <t>Chicken, Fish, Beef</t>
  </si>
  <si>
    <t>Fish, Beans, Chicken</t>
  </si>
  <si>
    <t>Chicken, Beef, Beans</t>
  </si>
  <si>
    <t>Fish, Tofu, Chicken</t>
  </si>
  <si>
    <t>Eggs, Chicken, Beans</t>
  </si>
  <si>
    <t>Eggs, Chicken, Tofu</t>
  </si>
  <si>
    <t>Beans, Fish, Tofu</t>
  </si>
  <si>
    <t>Tofu, Eggs, Beef</t>
  </si>
  <si>
    <t>Beef, Eggs</t>
  </si>
  <si>
    <t>Fish, Chicken, Tofu</t>
  </si>
  <si>
    <t>Fish, Beef</t>
  </si>
  <si>
    <t>Eggs, Beef, Chicken</t>
  </si>
  <si>
    <t>Beef, Fish, Beans</t>
  </si>
  <si>
    <t>Chicken, Fish, Beans</t>
  </si>
  <si>
    <t>Fish, Tofu, Beans</t>
  </si>
  <si>
    <t>Beef, Fish, Tofu</t>
  </si>
  <si>
    <t>Fish, Eggs, Beef</t>
  </si>
  <si>
    <t>Once a day</t>
  </si>
  <si>
    <t>Tofu, Beef, Eggs</t>
  </si>
  <si>
    <t>Fish, Beef, Tofu</t>
  </si>
  <si>
    <t>Beans, Tofu, Beef</t>
  </si>
  <si>
    <t>Chicken, Tofu</t>
  </si>
  <si>
    <t>Chicken, Tofu, Beans</t>
  </si>
  <si>
    <t>Once a week</t>
  </si>
  <si>
    <t>Beef, Tofu, Chicken</t>
  </si>
  <si>
    <t>Beans, Eggs, Fish</t>
  </si>
  <si>
    <t>65+</t>
  </si>
  <si>
    <t>Beans, Beef, Tofu</t>
  </si>
  <si>
    <t>1-2 hours</t>
  </si>
  <si>
    <t>Beans, Tofu, Chicken</t>
  </si>
  <si>
    <t xml:space="preserve">65+ </t>
  </si>
  <si>
    <t>Beef, Tofu</t>
  </si>
  <si>
    <t>Tofu, Chicken, Eggs</t>
  </si>
  <si>
    <t>Beans, Eggs, Beef</t>
  </si>
  <si>
    <t>Thyroid Problems</t>
  </si>
  <si>
    <t>Tofu, Fish, Beans</t>
  </si>
  <si>
    <t>Eggs, Beans, Tofu</t>
  </si>
  <si>
    <t>Beef, Fish</t>
  </si>
  <si>
    <t>Tofu, Beef, Beans</t>
  </si>
  <si>
    <t>2–3 times a week</t>
  </si>
  <si>
    <t>Trincomalee</t>
  </si>
  <si>
    <t>Beef, Chicken, Beans</t>
  </si>
  <si>
    <t>Eggs, Beans, Beef</t>
  </si>
  <si>
    <t>Eggs, Fish, Tofu</t>
  </si>
  <si>
    <t>Ratnapura</t>
  </si>
  <si>
    <t>Tofu, Beans, Beef</t>
  </si>
  <si>
    <t>Eggs, Beef, Tofu</t>
  </si>
  <si>
    <t>Fish, Beans, Eggs</t>
  </si>
  <si>
    <t>Fish, Beans, Beef</t>
  </si>
  <si>
    <t>Beef, Tofu, Eggs</t>
  </si>
  <si>
    <t>Fish, Chicken, Beef</t>
  </si>
  <si>
    <t>Tofu, Eggs, Fish</t>
  </si>
  <si>
    <t>Tofu, Beef, Chicken</t>
  </si>
  <si>
    <t>Weekly</t>
  </si>
  <si>
    <t>Chicken, Eggs, Fish</t>
  </si>
  <si>
    <t>Beans, Tofu, Fish</t>
  </si>
  <si>
    <t>Beans, Fish, Chicken</t>
  </si>
  <si>
    <t>Tofu, Beans, Chicken</t>
  </si>
  <si>
    <t>Eggs, Tofu, Beef</t>
  </si>
  <si>
    <t>Beans, Eggs, Chicken</t>
  </si>
  <si>
    <t>Chicken, Tofu, Eggs</t>
  </si>
  <si>
    <t>Chicken, Beans, Fish</t>
  </si>
  <si>
    <t>Beans, Chicken, Eggs</t>
  </si>
  <si>
    <t>Tofu, Beans, Eggs</t>
  </si>
  <si>
    <t>Kaluthara</t>
  </si>
  <si>
    <t>Beans, Beef, Eggs</t>
  </si>
  <si>
    <t>65+ years</t>
  </si>
  <si>
    <t>Chicken, Beef, Fish</t>
  </si>
  <si>
    <t>Beef, Fish, Eggs</t>
  </si>
  <si>
    <t>Beans, Chicken, Tofu</t>
  </si>
  <si>
    <t xml:space="preserve">15–24 </t>
  </si>
  <si>
    <t>Diploma / Vocational training</t>
  </si>
  <si>
    <t>Kurunegala</t>
  </si>
  <si>
    <t>4–5 people, 6 or more people</t>
  </si>
  <si>
    <t>2 Meals</t>
  </si>
  <si>
    <t>1. Rice</t>
  </si>
  <si>
    <t>Fish, Eggs, Chicken, Dhal / Lentils, Milk / Curd</t>
  </si>
  <si>
    <t>Coconut oil</t>
  </si>
  <si>
    <t>Irregular</t>
  </si>
  <si>
    <t>Bachelor’s degree</t>
  </si>
  <si>
    <t>4–5 people</t>
  </si>
  <si>
    <t>Fish, Eggs, Chicken, Dhal / Lentils, Milk / Curd, Soya / Gram</t>
  </si>
  <si>
    <t>30–60 minutes</t>
  </si>
  <si>
    <t>I do not have a menstrual cycle (menopause/medical reason)</t>
  </si>
  <si>
    <t>3 Meals</t>
  </si>
  <si>
    <t>Regular</t>
  </si>
  <si>
    <t>Secondary education (Grade 6–11 / O/L)</t>
  </si>
  <si>
    <t>6 or more people</t>
  </si>
  <si>
    <t>Fish, Eggs, Chicken, Dhal / Lentils, Milk / Curd, Meat (Beef/Pork/Mutton), Soya / Gram</t>
  </si>
  <si>
    <t>15–24 years</t>
  </si>
  <si>
    <t>Advanced Level (A/L)</t>
  </si>
  <si>
    <t>Matara</t>
  </si>
  <si>
    <t>Folate (Folic Acid)</t>
  </si>
  <si>
    <t>2.Wheat/Roti/Bread</t>
  </si>
  <si>
    <t>Eggs, Milk / Curd, Meat (Beef/Pork/Mutton)</t>
  </si>
  <si>
    <t>Ghee/Butter</t>
  </si>
  <si>
    <t>Vegetable/Mixed oil</t>
  </si>
  <si>
    <t>Mostly sitting, Moderate activity</t>
  </si>
  <si>
    <t>Eggs, Chicken, Milk / Curd, Meat (Beef/Pork/Mutton)</t>
  </si>
  <si>
    <t>Eggs, Chicken, Dhal / Lentils</t>
  </si>
  <si>
    <t>Fish, Eggs, Chicken, Dhal / Lentils</t>
  </si>
  <si>
    <t>4 or more Meals</t>
  </si>
  <si>
    <t xml:space="preserve">Fish, Eggs, Chicken, Dhal / Lentils, Milk / Curd, Soya / Gram, peanut </t>
  </si>
  <si>
    <t>Fish, Eggs, Chicken, Dhal / Lentils, Meat (Beef/Pork/Mutton), Soya / Gram</t>
  </si>
  <si>
    <t>Chicken, Dhal / Lentils, Milk / Curd</t>
  </si>
  <si>
    <t>Fish, Eggs, Chicken, Dhal / Lentils, Meat (Beef/Pork/Mutton)</t>
  </si>
  <si>
    <t>25–34 years</t>
  </si>
  <si>
    <t>1 person, 4–5 people</t>
  </si>
  <si>
    <t>Fish, Eggs, Chicken, Dhal / Lentils, Milk / Curd, Meat (Beef/Pork/Mutton)</t>
  </si>
  <si>
    <t>Kalutara</t>
  </si>
  <si>
    <t>Olive oil</t>
  </si>
  <si>
    <t>Primary education (Grade 1–5)</t>
  </si>
  <si>
    <t>2–3 people</t>
  </si>
  <si>
    <t>Mostly sitting, Light activity (housework/farming)</t>
  </si>
  <si>
    <t>Mostly indoors, 15–30 minutes</t>
  </si>
  <si>
    <t>Fish, Eggs, Dhal / Lentils, Soya / Gram</t>
  </si>
  <si>
    <t>Vitamin D, Multivitamin</t>
  </si>
  <si>
    <t xml:space="preserve">Eggs, </t>
  </si>
  <si>
    <t>Virgin oil</t>
  </si>
  <si>
    <t>55–64 years</t>
  </si>
  <si>
    <t>Fish, Eggs, Chicken</t>
  </si>
  <si>
    <t>Kilinochchi</t>
  </si>
  <si>
    <t>1 Meal</t>
  </si>
  <si>
    <t>Dhal / Lentils</t>
  </si>
  <si>
    <t>Mostly indoors, 30–60 minutes</t>
  </si>
  <si>
    <t>Iron</t>
  </si>
  <si>
    <t>Fish, Eggs, Dhal / Lentils, Milk / Curd</t>
  </si>
  <si>
    <t>Matale</t>
  </si>
  <si>
    <t>Eggs, Dhal / Lentils</t>
  </si>
  <si>
    <t>Chicken, Milk / Curd</t>
  </si>
  <si>
    <t>Mostly sitting, Heavy physical work</t>
  </si>
  <si>
    <t>Fish, Eggs, Chicken, Dhal / Lentils, Meat (Beef/Pork/Mutton), sausages, prawns.</t>
  </si>
  <si>
    <t>Eggs, Chicken, Meat (Beef/Pork/Mutton)</t>
  </si>
  <si>
    <t>Fish, Dhal / Lentils</t>
  </si>
  <si>
    <t>Eggs, Chicken, Dhal / Lentils, Milk / Curd</t>
  </si>
  <si>
    <t>Iron, Folate (Folic Acid), Vitamin D, Calcium</t>
  </si>
  <si>
    <t>Iron, Vitamin D</t>
  </si>
  <si>
    <t>Fish, Chicken, Dhal / Lentils</t>
  </si>
  <si>
    <t>Iron, Calcium</t>
  </si>
  <si>
    <t>Kegalle</t>
  </si>
  <si>
    <t>Eggs, Dhal / Lentils, Milk / Curd, Soya / Gram</t>
  </si>
  <si>
    <t>Vitamin D, Vitamin B, Calcium</t>
  </si>
  <si>
    <t>Fish, Eggs, Chicken, Milk / Curd</t>
  </si>
  <si>
    <t>Meat (Beef/Pork/Mutton)</t>
  </si>
  <si>
    <t>Fish, Eggs, Chicken, Dhal / Lentils, Soya / Gram</t>
  </si>
  <si>
    <t>Fish, Eggs, Chicken, Milk / Curd, Soya / Gram</t>
  </si>
  <si>
    <t>Ampara</t>
  </si>
  <si>
    <t>Eggs, Chicken, Dhal / Lentils, Milk / Curd, Meat (Beef/Pork/Mutton), Soya / Gram</t>
  </si>
  <si>
    <t>Eggs, Chicken, Dhal / Lentils, Soya / Gram</t>
  </si>
  <si>
    <t>Fish, Eggs, Milk / Curd</t>
  </si>
  <si>
    <t>Mostly sitting, Light activity (housework/farming), Moderate activity</t>
  </si>
  <si>
    <t>Vitamin D, Vitamin B, Multivitamin</t>
  </si>
  <si>
    <t>Eggs, Chicken, Dhal / Lentils, Milk / Curd, Meat (Beef/Pork/Mutton)</t>
  </si>
  <si>
    <t xml:space="preserve">Fish, Eggs, Chicken, Dhal / Lentils, Soya / Gram, </t>
  </si>
  <si>
    <t>Fish, Eggs, Chicken, Milk / Curd, Meat (Beef/Pork/Mutton), Soya / Gram</t>
  </si>
  <si>
    <t>3.String hoppers / Hoppers</t>
  </si>
  <si>
    <t>Eggs, Dhal / Lentils, Milk / Curd</t>
  </si>
  <si>
    <t>Yes, No</t>
  </si>
  <si>
    <t>Postgraduate degree (Master’s / PhD)</t>
  </si>
  <si>
    <t>30–60 minutes, More than 1 hour</t>
  </si>
  <si>
    <t xml:space="preserve">Eggs, Chicken, Dhal / Lentils, Soya / Gram, cheese </t>
  </si>
  <si>
    <t>15–30 minutes, More than 1 hour</t>
  </si>
  <si>
    <t>Iron, Folate (Folic Acid)</t>
  </si>
  <si>
    <t>35–44 years</t>
  </si>
  <si>
    <t>Chicken, Meat (Beef/Pork/Mutton)</t>
  </si>
  <si>
    <t>Light activity (housework/farming), Moderate activity</t>
  </si>
  <si>
    <t>15–30 minutes, 30–60 minutes</t>
  </si>
  <si>
    <t>Fish, Eggs, Dhal / Lentils, Milk / Curd, Meat (Beef/Pork/Mutton)</t>
  </si>
  <si>
    <t>Sun flower oil</t>
  </si>
  <si>
    <t>Iron, Vitamin D, Calcium</t>
  </si>
  <si>
    <t>Puttalam</t>
  </si>
  <si>
    <t>Mostly indoors, More than 1 hour</t>
  </si>
  <si>
    <t>Eggs, Dhal / Lentils, Soya / Gram</t>
  </si>
  <si>
    <t xml:space="preserve">Eggs, Dhal / Lentils, Milk / Curd, Soya / Gram, </t>
  </si>
  <si>
    <t>Vitamin B12</t>
  </si>
  <si>
    <t xml:space="preserve">Fish, Eggs, Chicken, Dhal / Lentils, Milk / Curd, </t>
  </si>
  <si>
    <t>Mix of Junk and Nutritious</t>
  </si>
  <si>
    <t>Soya / Gram</t>
  </si>
  <si>
    <t>Milk / Curd</t>
  </si>
  <si>
    <t xml:space="preserve">Fish, Eggs, Chicken, Dhal / Lentils, Milk / Curd, Meat (Beef/Pork/Mutton), Soya / Gram, </t>
  </si>
  <si>
    <t>Vitamin D, Calcium</t>
  </si>
  <si>
    <t>Fish, Eggs, Chicken, Dhal / Lentils, Milk / Curd, Meat (Beef/Pork/Mutton), Soya / Gram, cheese,Almonds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</si>
</sst>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0"/>
      <color rgb="FF434343"/>
      <name val="Arial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xfId="0" numFmtId="0" borderId="0" fontId="0" fillId="0"/>
    <xf xfId="0" numFmtId="0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3" applyNumberFormat="1" borderId="2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1" applyFont="1" fillId="0" applyAlignment="1">
      <alignment horizontal="left"/>
    </xf>
    <xf xfId="0" numFmtId="0" borderId="2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0" borderId="2" applyBorder="1" fontId="4" applyFont="1" fillId="0" applyAlignment="1">
      <alignment horizontal="left"/>
    </xf>
    <xf xfId="0" numFmtId="0" borderId="2" applyBorder="1" fontId="5" applyFont="1" fillId="0" applyAlignment="1">
      <alignment horizontal="left"/>
    </xf>
    <xf xfId="0" numFmtId="0" borderId="2" applyBorder="1" fontId="6" applyFont="1" fillId="0" applyAlignment="1">
      <alignment horizontal="left"/>
    </xf>
    <xf xfId="0" numFmtId="3" applyNumberFormat="1" borderId="2" applyBorder="1" fontId="6" applyFont="1" fillId="0" applyAlignment="1">
      <alignment horizontal="left"/>
    </xf>
    <xf xfId="0" numFmtId="3" applyNumberFormat="1" borderId="2" applyBorder="1" fontId="6" applyFont="1" fillId="0" applyAlignment="1">
      <alignment horizontal="right"/>
    </xf>
    <xf xfId="0" numFmtId="3" applyNumberFormat="1" borderId="2" applyBorder="1" fontId="6" applyFont="1" fillId="0" applyAlignment="1">
      <alignment horizontal="center"/>
    </xf>
    <xf xfId="0" numFmtId="4" applyNumberFormat="1" borderId="2" applyBorder="1" fontId="6" applyFont="1" fillId="0" applyAlignment="1">
      <alignment horizontal="right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F656"/>
  <sheetViews>
    <sheetView workbookViewId="0" tabSelected="1"/>
  </sheetViews>
  <sheetFormatPr defaultRowHeight="15" x14ac:dyDescent="0.25"/>
  <cols>
    <col min="1" max="1" style="23" width="9.576428571428572" customWidth="1" bestFit="1"/>
    <col min="2" max="2" style="23" width="11.005" customWidth="1" bestFit="1"/>
    <col min="3" max="3" style="23" width="12.43357142857143" customWidth="1" bestFit="1"/>
    <col min="4" max="4" style="24" width="12.43357142857143" customWidth="1" bestFit="1"/>
    <col min="5" max="5" style="23" width="12.43357142857143" customWidth="1" bestFit="1"/>
    <col min="6" max="6" style="24" width="5.2907142857142855" customWidth="1" bestFit="1"/>
    <col min="7" max="7" style="24" width="10.862142857142858" customWidth="1" bestFit="1"/>
    <col min="8" max="8" style="25" width="12.290714285714287" customWidth="1" bestFit="1"/>
    <col min="9" max="9" style="24" width="12.290714285714287" customWidth="1" bestFit="1"/>
    <col min="10" max="10" style="26" width="10.719285714285713" customWidth="1" bestFit="1"/>
    <col min="11" max="11" style="23" width="8.576428571428572" customWidth="1" bestFit="1"/>
    <col min="12" max="12" style="23" width="12.43357142857143" customWidth="1" bestFit="1"/>
    <col min="13" max="13" style="23" width="12.43357142857143" customWidth="1" bestFit="1"/>
    <col min="14" max="14" style="23" width="12.43357142857143" customWidth="1" bestFit="1"/>
    <col min="15" max="15" style="23" width="12.43357142857143" customWidth="1" bestFit="1"/>
    <col min="16" max="16" style="23" width="12.43357142857143" customWidth="1" bestFit="1"/>
    <col min="17" max="17" style="24" width="12.43357142857143" customWidth="1" bestFit="1"/>
    <col min="18" max="18" style="23" width="13.719285714285713" customWidth="1" bestFit="1"/>
    <col min="19" max="19" style="23" width="5.719285714285714" customWidth="1" bestFit="1"/>
    <col min="20" max="20" style="23" width="11.290714285714287" customWidth="1" bestFit="1"/>
    <col min="21" max="21" style="24" width="11.290714285714287" customWidth="1" bestFit="1"/>
    <col min="22" max="22" style="24" width="8.862142857142858" customWidth="1" bestFit="1"/>
    <col min="23" max="23" style="24" width="8.862142857142858" customWidth="1" bestFit="1"/>
    <col min="24" max="24" style="23" width="4.719285714285714" customWidth="1" bestFit="1"/>
    <col min="25" max="25" style="23" width="10.005" customWidth="1" bestFit="1"/>
    <col min="26" max="26" style="23" width="8.862142857142858" customWidth="1" bestFit="1"/>
    <col min="27" max="27" style="23" width="12.43357142857143" customWidth="1" bestFit="1"/>
    <col min="28" max="28" style="23" width="12.43357142857143" customWidth="1" bestFit="1"/>
    <col min="29" max="29" style="23" width="12.43357142857143" customWidth="1" bestFit="1"/>
    <col min="30" max="30" style="24" width="12.43357142857143" customWidth="1" bestFit="1"/>
    <col min="31" max="31" style="24" width="12.43357142857143" customWidth="1" bestFit="1"/>
    <col min="32" max="32" style="23" width="12.43357142857143" customWidth="1" bestFit="1"/>
  </cols>
  <sheetData>
    <row x14ac:dyDescent="0.25" r="1" customHeight="1" ht="20.25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3" t="s">
        <v>21</v>
      </c>
      <c r="W1" s="6" t="s">
        <v>22</v>
      </c>
      <c r="X1" s="7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6" t="s">
        <v>29</v>
      </c>
      <c r="AE1" s="8" t="s">
        <v>30</v>
      </c>
      <c r="AF1" s="9"/>
    </row>
    <row x14ac:dyDescent="0.25" r="2" customHeight="1" ht="17.25" hidden="1">
      <c r="A2" s="7" t="s">
        <v>31</v>
      </c>
      <c r="B2" s="7" t="s">
        <v>32</v>
      </c>
      <c r="C2" s="7" t="s">
        <v>33</v>
      </c>
      <c r="D2" s="10">
        <v>2</v>
      </c>
      <c r="E2" s="7" t="s">
        <v>34</v>
      </c>
      <c r="F2" s="10">
        <v>193</v>
      </c>
      <c r="G2" s="11">
        <v>62</v>
      </c>
      <c r="H2" s="12">
        <f>G2/((F2/100)*(F2/100))</f>
      </c>
      <c r="I2" s="11">
        <f>IF(H2&lt;25,0,IF(H2&lt;30,1,2))</f>
      </c>
      <c r="J2" s="13">
        <v>3</v>
      </c>
      <c r="K2" s="7" t="s">
        <v>35</v>
      </c>
      <c r="L2" s="7" t="s">
        <v>36</v>
      </c>
      <c r="M2" s="7" t="s">
        <v>37</v>
      </c>
      <c r="N2" s="7" t="s">
        <v>38</v>
      </c>
      <c r="O2" s="7" t="s">
        <v>39</v>
      </c>
      <c r="P2" s="7" t="s">
        <v>40</v>
      </c>
      <c r="Q2" s="10">
        <f>IF(P2="None of the above",0,2)</f>
      </c>
      <c r="R2" s="7" t="s">
        <v>41</v>
      </c>
      <c r="S2" s="7" t="s">
        <v>42</v>
      </c>
      <c r="T2" s="7" t="s">
        <v>43</v>
      </c>
      <c r="U2" s="10">
        <f>IF(T2="Heavy physical",0,IF(T2="Moderate activity",1,2))</f>
      </c>
      <c r="V2" s="5" t="s">
        <v>44</v>
      </c>
      <c r="W2" s="10">
        <f>IF(V2="7–8 hours",0,IF(V2="6–7 hours",1,2))</f>
      </c>
      <c r="X2" s="7" t="s">
        <v>45</v>
      </c>
      <c r="Y2" s="7" t="s">
        <v>46</v>
      </c>
      <c r="Z2" s="7" t="s">
        <v>47</v>
      </c>
      <c r="AA2" s="7" t="s">
        <v>48</v>
      </c>
      <c r="AB2" s="7" t="s">
        <v>42</v>
      </c>
      <c r="AC2" s="7" t="s">
        <v>48</v>
      </c>
      <c r="AD2" s="10">
        <f>I2 + Q2 + U2 + W2</f>
      </c>
      <c r="AE2" s="10">
        <f>IF(AD2&lt;=2,0,IF(AD2&lt;=5,1,2))</f>
      </c>
      <c r="AF2" s="7"/>
    </row>
    <row x14ac:dyDescent="0.25" r="3" customHeight="1" ht="17.25" hidden="1">
      <c r="A3" s="7" t="s">
        <v>49</v>
      </c>
      <c r="B3" s="7" t="s">
        <v>32</v>
      </c>
      <c r="C3" s="7" t="s">
        <v>50</v>
      </c>
      <c r="D3" s="10">
        <v>7</v>
      </c>
      <c r="E3" s="7" t="s">
        <v>51</v>
      </c>
      <c r="F3" s="10">
        <v>191</v>
      </c>
      <c r="G3" s="11">
        <v>71</v>
      </c>
      <c r="H3" s="12">
        <f>G3/((F3/100)*(F3/100))</f>
      </c>
      <c r="I3" s="11">
        <f>IF(H3&lt;25,0,IF(H3&lt;30,1,2))</f>
      </c>
      <c r="J3" s="13">
        <v>3</v>
      </c>
      <c r="K3" s="7" t="s">
        <v>52</v>
      </c>
      <c r="L3" s="7" t="s">
        <v>53</v>
      </c>
      <c r="M3" s="7" t="s">
        <v>54</v>
      </c>
      <c r="N3" s="7" t="s">
        <v>38</v>
      </c>
      <c r="O3" s="7" t="s">
        <v>39</v>
      </c>
      <c r="P3" s="7" t="s">
        <v>55</v>
      </c>
      <c r="Q3" s="10">
        <f>IF(P3="None of the above",0,2)</f>
      </c>
      <c r="R3" s="7" t="s">
        <v>56</v>
      </c>
      <c r="S3" s="7" t="s">
        <v>48</v>
      </c>
      <c r="T3" s="7" t="s">
        <v>43</v>
      </c>
      <c r="U3" s="10">
        <f>IF(T3="Heavy physical",0,IF(T3="Moderate activity",1,2))</f>
      </c>
      <c r="V3" s="5" t="s">
        <v>57</v>
      </c>
      <c r="W3" s="10">
        <f>IF(V3="7–8 hours",0,IF(V3="6–7 hours",1,2))</f>
      </c>
      <c r="X3" s="7" t="s">
        <v>45</v>
      </c>
      <c r="Y3" s="7" t="s">
        <v>58</v>
      </c>
      <c r="Z3" s="7" t="s">
        <v>47</v>
      </c>
      <c r="AA3" s="7" t="s">
        <v>42</v>
      </c>
      <c r="AB3" s="7" t="s">
        <v>42</v>
      </c>
      <c r="AC3" s="7" t="s">
        <v>42</v>
      </c>
      <c r="AD3" s="10">
        <f>I3 + Q3 + U3 + W3</f>
      </c>
      <c r="AE3" s="10">
        <f>IF(AD3&lt;=2,0,IF(AD3&lt;=5,1,2))</f>
      </c>
      <c r="AF3" s="7"/>
    </row>
    <row x14ac:dyDescent="0.25" r="4" customHeight="1" ht="17.25" hidden="1">
      <c r="A4" s="7" t="s">
        <v>49</v>
      </c>
      <c r="B4" s="7" t="s">
        <v>59</v>
      </c>
      <c r="C4" s="7" t="s">
        <v>60</v>
      </c>
      <c r="D4" s="10">
        <v>5</v>
      </c>
      <c r="E4" s="7" t="s">
        <v>51</v>
      </c>
      <c r="F4" s="10">
        <v>163</v>
      </c>
      <c r="G4" s="11">
        <v>84</v>
      </c>
      <c r="H4" s="12">
        <f>G4/((F4/100)*(F4/100))</f>
      </c>
      <c r="I4" s="11">
        <f>IF(H4&lt;25,0,IF(H4&lt;30,1,2))</f>
      </c>
      <c r="J4" s="13">
        <v>3</v>
      </c>
      <c r="K4" s="7" t="s">
        <v>61</v>
      </c>
      <c r="L4" s="7" t="s">
        <v>62</v>
      </c>
      <c r="M4" s="7" t="s">
        <v>37</v>
      </c>
      <c r="N4" s="7" t="s">
        <v>38</v>
      </c>
      <c r="O4" s="7" t="s">
        <v>63</v>
      </c>
      <c r="P4" s="7" t="s">
        <v>55</v>
      </c>
      <c r="Q4" s="10">
        <f>IF(P4="None of the above",0,2)</f>
      </c>
      <c r="R4" s="7" t="s">
        <v>56</v>
      </c>
      <c r="S4" s="7" t="s">
        <v>42</v>
      </c>
      <c r="T4" s="7" t="s">
        <v>43</v>
      </c>
      <c r="U4" s="10">
        <f>IF(T4="Heavy physical",0,IF(T4="Moderate activity",1,2))</f>
      </c>
      <c r="V4" s="5" t="s">
        <v>57</v>
      </c>
      <c r="W4" s="10">
        <f>IF(V4="7–8 hours",0,IF(V4="6–7 hours",1,2))</f>
      </c>
      <c r="X4" s="7" t="s">
        <v>45</v>
      </c>
      <c r="Y4" s="7" t="s">
        <v>64</v>
      </c>
      <c r="Z4" s="7" t="s">
        <v>65</v>
      </c>
      <c r="AA4" s="7" t="s">
        <v>42</v>
      </c>
      <c r="AB4" s="7" t="s">
        <v>42</v>
      </c>
      <c r="AC4" s="7" t="s">
        <v>42</v>
      </c>
      <c r="AD4" s="10">
        <f>I4 + Q4 + U4 + W4</f>
      </c>
      <c r="AE4" s="10">
        <f>IF(AD4&lt;=2,0,IF(AD4&lt;=5,1,2))</f>
      </c>
      <c r="AF4" s="7"/>
    </row>
    <row x14ac:dyDescent="0.25" r="5" customHeight="1" ht="17.25" hidden="1">
      <c r="A5" s="7" t="s">
        <v>31</v>
      </c>
      <c r="B5" s="7" t="s">
        <v>66</v>
      </c>
      <c r="C5" s="7" t="s">
        <v>33</v>
      </c>
      <c r="D5" s="10">
        <v>4</v>
      </c>
      <c r="E5" s="7" t="s">
        <v>34</v>
      </c>
      <c r="F5" s="10">
        <v>172</v>
      </c>
      <c r="G5" s="11">
        <v>113</v>
      </c>
      <c r="H5" s="12">
        <f>G5/((F5/100)*(F5/100))</f>
      </c>
      <c r="I5" s="11">
        <f>IF(H5&lt;25,0,IF(H5&lt;30,1,2))</f>
      </c>
      <c r="J5" s="13">
        <v>2</v>
      </c>
      <c r="K5" s="7" t="s">
        <v>61</v>
      </c>
      <c r="L5" s="7" t="s">
        <v>67</v>
      </c>
      <c r="M5" s="7" t="s">
        <v>54</v>
      </c>
      <c r="N5" s="7" t="s">
        <v>38</v>
      </c>
      <c r="O5" s="7" t="s">
        <v>68</v>
      </c>
      <c r="P5" s="7" t="s">
        <v>40</v>
      </c>
      <c r="Q5" s="10">
        <f>IF(P5="None of the above",0,2)</f>
      </c>
      <c r="R5" s="7" t="s">
        <v>56</v>
      </c>
      <c r="S5" s="7" t="s">
        <v>42</v>
      </c>
      <c r="T5" s="7" t="s">
        <v>43</v>
      </c>
      <c r="U5" s="10">
        <f>IF(T5="Heavy physical",0,IF(T5="Moderate activity",1,2))</f>
      </c>
      <c r="V5" s="5" t="s">
        <v>69</v>
      </c>
      <c r="W5" s="10">
        <f>IF(V5="7–8 hours",0,IF(V5="6–7 hours",1,2))</f>
      </c>
      <c r="X5" s="7" t="s">
        <v>70</v>
      </c>
      <c r="Y5" s="7" t="s">
        <v>64</v>
      </c>
      <c r="Z5" s="7" t="s">
        <v>47</v>
      </c>
      <c r="AA5" s="7" t="s">
        <v>42</v>
      </c>
      <c r="AB5" s="7" t="s">
        <v>48</v>
      </c>
      <c r="AC5" s="7" t="s">
        <v>42</v>
      </c>
      <c r="AD5" s="10">
        <f>I5 + Q5 + U5 + W5</f>
      </c>
      <c r="AE5" s="10">
        <f>IF(AD5&lt;=2,0,IF(AD5&lt;=5,1,2))</f>
      </c>
      <c r="AF5" s="7"/>
    </row>
    <row x14ac:dyDescent="0.25" r="6" customHeight="1" ht="17.25" hidden="1">
      <c r="A6" s="7" t="s">
        <v>31</v>
      </c>
      <c r="B6" s="7" t="s">
        <v>71</v>
      </c>
      <c r="C6" s="7" t="s">
        <v>50</v>
      </c>
      <c r="D6" s="10">
        <v>6</v>
      </c>
      <c r="E6" s="7" t="s">
        <v>34</v>
      </c>
      <c r="F6" s="10">
        <v>170</v>
      </c>
      <c r="G6" s="11">
        <v>55</v>
      </c>
      <c r="H6" s="12">
        <f>G6/((F6/100)*(F6/100))</f>
      </c>
      <c r="I6" s="11">
        <f>IF(H6&lt;25,0,IF(H6&lt;30,1,2))</f>
      </c>
      <c r="J6" s="13">
        <v>3</v>
      </c>
      <c r="K6" s="7" t="s">
        <v>72</v>
      </c>
      <c r="L6" s="7" t="s">
        <v>73</v>
      </c>
      <c r="M6" s="7" t="s">
        <v>37</v>
      </c>
      <c r="N6" s="7" t="s">
        <v>38</v>
      </c>
      <c r="O6" s="7" t="s">
        <v>74</v>
      </c>
      <c r="P6" s="7" t="s">
        <v>55</v>
      </c>
      <c r="Q6" s="10">
        <f>IF(P6="None of the above",0,2)</f>
      </c>
      <c r="R6" s="7" t="s">
        <v>56</v>
      </c>
      <c r="S6" s="7" t="s">
        <v>48</v>
      </c>
      <c r="T6" s="7" t="s">
        <v>43</v>
      </c>
      <c r="U6" s="10">
        <f>IF(T6="Heavy physical",0,IF(T6="Moderate activity",1,2))</f>
      </c>
      <c r="V6" s="5" t="s">
        <v>57</v>
      </c>
      <c r="W6" s="10">
        <f>IF(V6="7–8 hours",0,IF(V6="6–7 hours",1,2))</f>
      </c>
      <c r="X6" s="7" t="s">
        <v>45</v>
      </c>
      <c r="Y6" s="7" t="s">
        <v>75</v>
      </c>
      <c r="Z6" s="7" t="s">
        <v>47</v>
      </c>
      <c r="AA6" s="7" t="s">
        <v>42</v>
      </c>
      <c r="AB6" s="7" t="s">
        <v>48</v>
      </c>
      <c r="AC6" s="7" t="s">
        <v>48</v>
      </c>
      <c r="AD6" s="10">
        <f>I6 + Q6 + U6 + W6</f>
      </c>
      <c r="AE6" s="10">
        <f>IF(AD6&lt;=2,0,IF(AD6&lt;=5,1,2))</f>
      </c>
      <c r="AF6" s="7"/>
    </row>
    <row x14ac:dyDescent="0.25" r="7" customHeight="1" ht="17.25" hidden="1">
      <c r="A7" s="7" t="s">
        <v>76</v>
      </c>
      <c r="B7" s="7" t="s">
        <v>77</v>
      </c>
      <c r="C7" s="7" t="s">
        <v>78</v>
      </c>
      <c r="D7" s="10">
        <v>2</v>
      </c>
      <c r="E7" s="7" t="s">
        <v>51</v>
      </c>
      <c r="F7" s="10">
        <v>184</v>
      </c>
      <c r="G7" s="11">
        <v>120</v>
      </c>
      <c r="H7" s="12">
        <f>G7/((F7/100)*(F7/100))</f>
      </c>
      <c r="I7" s="11">
        <f>IF(H7&lt;25,0,IF(H7&lt;30,1,2))</f>
      </c>
      <c r="J7" s="13">
        <v>3</v>
      </c>
      <c r="K7" s="7" t="s">
        <v>61</v>
      </c>
      <c r="L7" s="7" t="s">
        <v>79</v>
      </c>
      <c r="M7" s="7" t="s">
        <v>54</v>
      </c>
      <c r="N7" s="7" t="s">
        <v>38</v>
      </c>
      <c r="O7" s="7" t="s">
        <v>80</v>
      </c>
      <c r="P7" s="14" t="s">
        <v>81</v>
      </c>
      <c r="Q7" s="10">
        <f>IF(P7="None of the above",0,2)</f>
      </c>
      <c r="R7" s="7" t="s">
        <v>56</v>
      </c>
      <c r="S7" s="7" t="s">
        <v>48</v>
      </c>
      <c r="T7" s="7" t="s">
        <v>82</v>
      </c>
      <c r="U7" s="10">
        <f>IF(T7="Heavy physical",0,IF(T7="Moderate activity",1,2))</f>
      </c>
      <c r="V7" s="5" t="s">
        <v>57</v>
      </c>
      <c r="W7" s="10">
        <f>IF(V7="7–8 hours",0,IF(V7="6–7 hours",1,2))</f>
      </c>
      <c r="X7" s="7" t="s">
        <v>45</v>
      </c>
      <c r="Y7" s="7" t="s">
        <v>46</v>
      </c>
      <c r="Z7" s="7" t="s">
        <v>45</v>
      </c>
      <c r="AA7" s="7" t="s">
        <v>42</v>
      </c>
      <c r="AB7" s="7" t="s">
        <v>42</v>
      </c>
      <c r="AC7" s="7" t="s">
        <v>42</v>
      </c>
      <c r="AD7" s="10">
        <f>I7 + Q7 + U7 + W7</f>
      </c>
      <c r="AE7" s="10">
        <f>IF(AD7&lt;=2,0,IF(AD7&lt;=5,1,2))</f>
      </c>
      <c r="AF7" s="7"/>
    </row>
    <row x14ac:dyDescent="0.25" r="8" customHeight="1" ht="17.25" hidden="1">
      <c r="A8" s="7" t="s">
        <v>49</v>
      </c>
      <c r="B8" s="7" t="s">
        <v>66</v>
      </c>
      <c r="C8" s="7" t="s">
        <v>50</v>
      </c>
      <c r="D8" s="10">
        <v>5</v>
      </c>
      <c r="E8" s="7" t="s">
        <v>51</v>
      </c>
      <c r="F8" s="10">
        <v>156</v>
      </c>
      <c r="G8" s="11">
        <v>93</v>
      </c>
      <c r="H8" s="12">
        <f>G8/((F8/100)*(F8/100))</f>
      </c>
      <c r="I8" s="11">
        <f>IF(H8&lt;25,0,IF(H8&lt;30,1,2))</f>
      </c>
      <c r="J8" s="13">
        <v>3</v>
      </c>
      <c r="K8" s="7" t="s">
        <v>61</v>
      </c>
      <c r="L8" s="7" t="s">
        <v>36</v>
      </c>
      <c r="M8" s="7" t="s">
        <v>41</v>
      </c>
      <c r="N8" s="7" t="s">
        <v>38</v>
      </c>
      <c r="O8" s="7" t="s">
        <v>74</v>
      </c>
      <c r="P8" s="7" t="s">
        <v>81</v>
      </c>
      <c r="Q8" s="10">
        <f>IF(P8="None of the above",0,2)</f>
      </c>
      <c r="R8" s="7" t="s">
        <v>56</v>
      </c>
      <c r="S8" s="7" t="s">
        <v>42</v>
      </c>
      <c r="T8" s="7" t="s">
        <v>43</v>
      </c>
      <c r="U8" s="10">
        <f>IF(T8="Heavy physical",0,IF(T8="Moderate activity",1,2))</f>
      </c>
      <c r="V8" s="5" t="s">
        <v>69</v>
      </c>
      <c r="W8" s="10">
        <f>IF(V8="7–8 hours",0,IF(V8="6–7 hours",1,2))</f>
      </c>
      <c r="X8" s="7" t="s">
        <v>83</v>
      </c>
      <c r="Y8" s="7" t="s">
        <v>58</v>
      </c>
      <c r="Z8" s="7" t="s">
        <v>47</v>
      </c>
      <c r="AA8" s="7" t="s">
        <v>42</v>
      </c>
      <c r="AB8" s="7" t="s">
        <v>42</v>
      </c>
      <c r="AC8" s="7" t="s">
        <v>42</v>
      </c>
      <c r="AD8" s="10">
        <f>I8 + Q8 + U8 + W8</f>
      </c>
      <c r="AE8" s="10">
        <f>IF(AD8&lt;=2,0,IF(AD8&lt;=5,1,2))</f>
      </c>
      <c r="AF8" s="7"/>
    </row>
    <row x14ac:dyDescent="0.25" r="9" customHeight="1" ht="17.25" hidden="1">
      <c r="A9" s="7" t="s">
        <v>31</v>
      </c>
      <c r="B9" s="7" t="s">
        <v>84</v>
      </c>
      <c r="C9" s="7" t="s">
        <v>50</v>
      </c>
      <c r="D9" s="10">
        <v>3</v>
      </c>
      <c r="E9" s="7" t="s">
        <v>34</v>
      </c>
      <c r="F9" s="10">
        <v>143</v>
      </c>
      <c r="G9" s="11">
        <v>119</v>
      </c>
      <c r="H9" s="12">
        <f>G9/((F9/100)*(F9/100))</f>
      </c>
      <c r="I9" s="11">
        <f>IF(H9&lt;25,0,IF(H9&lt;30,1,2))</f>
      </c>
      <c r="J9" s="13">
        <v>2</v>
      </c>
      <c r="K9" s="7" t="s">
        <v>52</v>
      </c>
      <c r="L9" s="7" t="s">
        <v>85</v>
      </c>
      <c r="M9" s="7" t="s">
        <v>54</v>
      </c>
      <c r="N9" s="7" t="s">
        <v>38</v>
      </c>
      <c r="O9" s="7" t="s">
        <v>74</v>
      </c>
      <c r="P9" s="7" t="s">
        <v>40</v>
      </c>
      <c r="Q9" s="10">
        <f>IF(P9="None of the above",0,2)</f>
      </c>
      <c r="R9" s="7" t="s">
        <v>56</v>
      </c>
      <c r="S9" s="7" t="s">
        <v>48</v>
      </c>
      <c r="T9" s="7" t="s">
        <v>43</v>
      </c>
      <c r="U9" s="10">
        <f>IF(T9="Heavy physical",0,IF(T9="Moderate activity",1,2))</f>
      </c>
      <c r="V9" s="5" t="s">
        <v>57</v>
      </c>
      <c r="W9" s="10">
        <f>IF(V9="7–8 hours",0,IF(V9="6–7 hours",1,2))</f>
      </c>
      <c r="X9" s="7" t="s">
        <v>45</v>
      </c>
      <c r="Y9" s="7" t="s">
        <v>75</v>
      </c>
      <c r="Z9" s="7" t="s">
        <v>45</v>
      </c>
      <c r="AA9" s="7" t="s">
        <v>42</v>
      </c>
      <c r="AB9" s="7" t="s">
        <v>48</v>
      </c>
      <c r="AC9" s="7" t="s">
        <v>48</v>
      </c>
      <c r="AD9" s="10">
        <f>I9 + Q9 + U9 + W9</f>
      </c>
      <c r="AE9" s="10">
        <f>IF(AD9&lt;=2,0,IF(AD9&lt;=5,1,2))</f>
      </c>
      <c r="AF9" s="7"/>
    </row>
    <row x14ac:dyDescent="0.25" r="10" customHeight="1" ht="17.25" hidden="1">
      <c r="A10" s="7" t="s">
        <v>76</v>
      </c>
      <c r="B10" s="7" t="s">
        <v>84</v>
      </c>
      <c r="C10" s="7" t="s">
        <v>33</v>
      </c>
      <c r="D10" s="10">
        <v>3</v>
      </c>
      <c r="E10" s="7" t="s">
        <v>51</v>
      </c>
      <c r="F10" s="10">
        <v>185</v>
      </c>
      <c r="G10" s="11">
        <v>88</v>
      </c>
      <c r="H10" s="12">
        <f>G10/((F10/100)*(F10/100))</f>
      </c>
      <c r="I10" s="11">
        <f>IF(H10&lt;25,0,IF(H10&lt;30,1,2))</f>
      </c>
      <c r="J10" s="13">
        <v>3</v>
      </c>
      <c r="K10" s="7" t="s">
        <v>86</v>
      </c>
      <c r="L10" s="7" t="s">
        <v>87</v>
      </c>
      <c r="M10" s="7" t="s">
        <v>54</v>
      </c>
      <c r="N10" s="7" t="s">
        <v>38</v>
      </c>
      <c r="O10" s="7" t="s">
        <v>74</v>
      </c>
      <c r="P10" s="7" t="s">
        <v>55</v>
      </c>
      <c r="Q10" s="10">
        <f>IF(P10="None of the above",0,2)</f>
      </c>
      <c r="R10" s="7" t="s">
        <v>41</v>
      </c>
      <c r="S10" s="7" t="s">
        <v>42</v>
      </c>
      <c r="T10" s="7" t="s">
        <v>43</v>
      </c>
      <c r="U10" s="10">
        <f>IF(T10="Heavy physical",0,IF(T10="Moderate activity",1,2))</f>
      </c>
      <c r="V10" s="5" t="s">
        <v>44</v>
      </c>
      <c r="W10" s="10">
        <f>IF(V10="7–8 hours",0,IF(V10="6–7 hours",1,2))</f>
      </c>
      <c r="X10" s="7" t="s">
        <v>45</v>
      </c>
      <c r="Y10" s="7" t="s">
        <v>64</v>
      </c>
      <c r="Z10" s="7" t="s">
        <v>65</v>
      </c>
      <c r="AA10" s="7" t="s">
        <v>42</v>
      </c>
      <c r="AB10" s="7" t="s">
        <v>42</v>
      </c>
      <c r="AC10" s="7" t="s">
        <v>42</v>
      </c>
      <c r="AD10" s="10">
        <f>I10 + Q10 + U10 + W10</f>
      </c>
      <c r="AE10" s="10">
        <f>IF(AD10&lt;=2,0,IF(AD10&lt;=5,1,2))</f>
      </c>
      <c r="AF10" s="7"/>
    </row>
    <row x14ac:dyDescent="0.25" r="11" customHeight="1" ht="17.25" hidden="1">
      <c r="A11" s="7" t="s">
        <v>31</v>
      </c>
      <c r="B11" s="7" t="s">
        <v>32</v>
      </c>
      <c r="C11" s="7" t="s">
        <v>78</v>
      </c>
      <c r="D11" s="10">
        <v>5</v>
      </c>
      <c r="E11" s="7" t="s">
        <v>51</v>
      </c>
      <c r="F11" s="10">
        <v>147</v>
      </c>
      <c r="G11" s="11">
        <v>93</v>
      </c>
      <c r="H11" s="12">
        <f>G11/((F11/100)*(F11/100))</f>
      </c>
      <c r="I11" s="11">
        <f>IF(H11&lt;25,0,IF(H11&lt;30,1,2))</f>
      </c>
      <c r="J11" s="13">
        <v>5</v>
      </c>
      <c r="K11" s="7" t="s">
        <v>72</v>
      </c>
      <c r="L11" s="7" t="s">
        <v>88</v>
      </c>
      <c r="M11" s="7" t="s">
        <v>41</v>
      </c>
      <c r="N11" s="7" t="s">
        <v>38</v>
      </c>
      <c r="O11" s="7" t="s">
        <v>80</v>
      </c>
      <c r="P11" s="7" t="s">
        <v>81</v>
      </c>
      <c r="Q11" s="10">
        <f>IF(P11="None of the above",0,2)</f>
      </c>
      <c r="R11" s="7" t="s">
        <v>89</v>
      </c>
      <c r="S11" s="7" t="s">
        <v>48</v>
      </c>
      <c r="T11" s="7" t="s">
        <v>43</v>
      </c>
      <c r="U11" s="10">
        <f>IF(T11="Heavy physical",0,IF(T11="Moderate activity",1,2))</f>
      </c>
      <c r="V11" s="5" t="s">
        <v>57</v>
      </c>
      <c r="W11" s="10">
        <f>IF(V11="7–8 hours",0,IF(V11="6–7 hours",1,2))</f>
      </c>
      <c r="X11" s="7" t="s">
        <v>70</v>
      </c>
      <c r="Y11" s="7" t="s">
        <v>64</v>
      </c>
      <c r="Z11" s="7" t="s">
        <v>45</v>
      </c>
      <c r="AA11" s="7" t="s">
        <v>42</v>
      </c>
      <c r="AB11" s="7" t="s">
        <v>42</v>
      </c>
      <c r="AC11" s="7" t="s">
        <v>42</v>
      </c>
      <c r="AD11" s="10">
        <f>I11 + Q11 + U11 + W11</f>
      </c>
      <c r="AE11" s="10">
        <f>IF(AD11&lt;=2,0,IF(AD11&lt;=5,1,2))</f>
      </c>
      <c r="AF11" s="7"/>
    </row>
    <row x14ac:dyDescent="0.25" r="12" customHeight="1" ht="17.25" hidden="1">
      <c r="A12" s="7" t="s">
        <v>49</v>
      </c>
      <c r="B12" s="7" t="s">
        <v>32</v>
      </c>
      <c r="C12" s="7" t="s">
        <v>50</v>
      </c>
      <c r="D12" s="10">
        <v>5</v>
      </c>
      <c r="E12" s="7" t="s">
        <v>34</v>
      </c>
      <c r="F12" s="10">
        <v>169</v>
      </c>
      <c r="G12" s="11">
        <v>109</v>
      </c>
      <c r="H12" s="12">
        <f>G12/((F12/100)*(F12/100))</f>
      </c>
      <c r="I12" s="11">
        <f>IF(H12&lt;25,0,IF(H12&lt;30,1,2))</f>
      </c>
      <c r="J12" s="13">
        <v>2</v>
      </c>
      <c r="K12" s="7" t="s">
        <v>86</v>
      </c>
      <c r="L12" s="7" t="s">
        <v>90</v>
      </c>
      <c r="M12" s="7" t="s">
        <v>54</v>
      </c>
      <c r="N12" s="7" t="s">
        <v>38</v>
      </c>
      <c r="O12" s="7" t="s">
        <v>63</v>
      </c>
      <c r="P12" s="7" t="s">
        <v>55</v>
      </c>
      <c r="Q12" s="10">
        <f>IF(P12="None of the above",0,2)</f>
      </c>
      <c r="R12" s="7" t="s">
        <v>56</v>
      </c>
      <c r="S12" s="7" t="s">
        <v>48</v>
      </c>
      <c r="T12" s="7" t="s">
        <v>43</v>
      </c>
      <c r="U12" s="10">
        <f>IF(T12="Heavy physical",0,IF(T12="Moderate activity",1,2))</f>
      </c>
      <c r="V12" s="5" t="s">
        <v>57</v>
      </c>
      <c r="W12" s="10">
        <f>IF(V12="7–8 hours",0,IF(V12="6–7 hours",1,2))</f>
      </c>
      <c r="X12" s="7" t="s">
        <v>45</v>
      </c>
      <c r="Y12" s="7" t="s">
        <v>58</v>
      </c>
      <c r="Z12" s="7" t="s">
        <v>45</v>
      </c>
      <c r="AA12" s="7" t="s">
        <v>48</v>
      </c>
      <c r="AB12" s="7" t="s">
        <v>42</v>
      </c>
      <c r="AC12" s="7" t="s">
        <v>42</v>
      </c>
      <c r="AD12" s="10">
        <f>I12 + Q12 + U12 + W12</f>
      </c>
      <c r="AE12" s="10">
        <f>IF(AD12&lt;=2,0,IF(AD12&lt;=5,1,2))</f>
      </c>
      <c r="AF12" s="7"/>
    </row>
    <row x14ac:dyDescent="0.25" r="13" customHeight="1" ht="17.25" hidden="1">
      <c r="A13" s="7" t="s">
        <v>76</v>
      </c>
      <c r="B13" s="7" t="s">
        <v>66</v>
      </c>
      <c r="C13" s="7" t="s">
        <v>60</v>
      </c>
      <c r="D13" s="10">
        <v>6</v>
      </c>
      <c r="E13" s="7" t="s">
        <v>51</v>
      </c>
      <c r="F13" s="10">
        <v>197</v>
      </c>
      <c r="G13" s="11">
        <v>89</v>
      </c>
      <c r="H13" s="12">
        <f>G13/((F13/100)*(F13/100))</f>
      </c>
      <c r="I13" s="11">
        <f>IF(H13&lt;25,0,IF(H13&lt;30,1,2))</f>
      </c>
      <c r="J13" s="13">
        <v>3</v>
      </c>
      <c r="K13" s="7" t="s">
        <v>86</v>
      </c>
      <c r="L13" s="7" t="s">
        <v>91</v>
      </c>
      <c r="M13" s="7" t="s">
        <v>54</v>
      </c>
      <c r="N13" s="7" t="s">
        <v>38</v>
      </c>
      <c r="O13" s="7" t="s">
        <v>68</v>
      </c>
      <c r="P13" s="7" t="s">
        <v>40</v>
      </c>
      <c r="Q13" s="10">
        <f>IF(P13="None of the above",0,2)</f>
      </c>
      <c r="R13" s="7" t="s">
        <v>56</v>
      </c>
      <c r="S13" s="7" t="s">
        <v>42</v>
      </c>
      <c r="T13" s="7" t="s">
        <v>43</v>
      </c>
      <c r="U13" s="10">
        <f>IF(T13="Heavy physical",0,IF(T13="Moderate activity",1,2))</f>
      </c>
      <c r="V13" s="5" t="s">
        <v>44</v>
      </c>
      <c r="W13" s="10">
        <f>IF(V13="7–8 hours",0,IF(V13="6–7 hours",1,2))</f>
      </c>
      <c r="X13" s="7" t="s">
        <v>45</v>
      </c>
      <c r="Y13" s="7" t="s">
        <v>75</v>
      </c>
      <c r="Z13" s="7" t="s">
        <v>92</v>
      </c>
      <c r="AA13" s="7" t="s">
        <v>42</v>
      </c>
      <c r="AB13" s="7" t="s">
        <v>42</v>
      </c>
      <c r="AC13" s="7" t="s">
        <v>42</v>
      </c>
      <c r="AD13" s="10">
        <f>I13 + Q13 + U13 + W13</f>
      </c>
      <c r="AE13" s="10">
        <f>IF(AD13&lt;=2,0,IF(AD13&lt;=5,1,2))</f>
      </c>
      <c r="AF13" s="7"/>
    </row>
    <row x14ac:dyDescent="0.25" r="14" customHeight="1" ht="17.25" hidden="1">
      <c r="A14" s="7" t="s">
        <v>76</v>
      </c>
      <c r="B14" s="7" t="s">
        <v>93</v>
      </c>
      <c r="C14" s="7" t="s">
        <v>78</v>
      </c>
      <c r="D14" s="10">
        <v>6</v>
      </c>
      <c r="E14" s="7" t="s">
        <v>51</v>
      </c>
      <c r="F14" s="10">
        <v>162</v>
      </c>
      <c r="G14" s="11">
        <v>101</v>
      </c>
      <c r="H14" s="12">
        <f>G14/((F14/100)*(F14/100))</f>
      </c>
      <c r="I14" s="11">
        <f>IF(H14&lt;25,0,IF(H14&lt;30,1,2))</f>
      </c>
      <c r="J14" s="13">
        <v>2</v>
      </c>
      <c r="K14" s="7" t="s">
        <v>52</v>
      </c>
      <c r="L14" s="7" t="s">
        <v>94</v>
      </c>
      <c r="M14" s="7" t="s">
        <v>37</v>
      </c>
      <c r="N14" s="7" t="s">
        <v>38</v>
      </c>
      <c r="O14" s="7" t="s">
        <v>68</v>
      </c>
      <c r="P14" s="7" t="s">
        <v>55</v>
      </c>
      <c r="Q14" s="10">
        <f>IF(P14="None of the above",0,2)</f>
      </c>
      <c r="R14" s="7" t="s">
        <v>56</v>
      </c>
      <c r="S14" s="7" t="s">
        <v>48</v>
      </c>
      <c r="T14" s="7" t="s">
        <v>43</v>
      </c>
      <c r="U14" s="10">
        <f>IF(T14="Heavy physical",0,IF(T14="Moderate activity",1,2))</f>
      </c>
      <c r="V14" s="5" t="s">
        <v>44</v>
      </c>
      <c r="W14" s="10">
        <f>IF(V14="7–8 hours",0,IF(V14="6–7 hours",1,2))</f>
      </c>
      <c r="X14" s="7" t="s">
        <v>45</v>
      </c>
      <c r="Y14" s="7" t="s">
        <v>46</v>
      </c>
      <c r="Z14" s="7" t="s">
        <v>45</v>
      </c>
      <c r="AA14" s="7" t="s">
        <v>42</v>
      </c>
      <c r="AB14" s="7" t="s">
        <v>42</v>
      </c>
      <c r="AC14" s="7" t="s">
        <v>42</v>
      </c>
      <c r="AD14" s="10">
        <f>I14 + Q14 + U14 + W14</f>
      </c>
      <c r="AE14" s="10">
        <f>IF(AD14&lt;=2,0,IF(AD14&lt;=5,1,2))</f>
      </c>
      <c r="AF14" s="7"/>
    </row>
    <row x14ac:dyDescent="0.25" r="15" customHeight="1" ht="17.25" hidden="1">
      <c r="A15" s="7" t="s">
        <v>76</v>
      </c>
      <c r="B15" s="7" t="s">
        <v>71</v>
      </c>
      <c r="C15" s="7" t="s">
        <v>60</v>
      </c>
      <c r="D15" s="10">
        <v>1</v>
      </c>
      <c r="E15" s="7" t="s">
        <v>34</v>
      </c>
      <c r="F15" s="10">
        <v>142</v>
      </c>
      <c r="G15" s="11">
        <v>83</v>
      </c>
      <c r="H15" s="12">
        <f>G15/((F15/100)*(F15/100))</f>
      </c>
      <c r="I15" s="11">
        <f>IF(H15&lt;25,0,IF(H15&lt;30,1,2))</f>
      </c>
      <c r="J15" s="13">
        <v>3</v>
      </c>
      <c r="K15" s="7" t="s">
        <v>35</v>
      </c>
      <c r="L15" s="7" t="s">
        <v>95</v>
      </c>
      <c r="M15" s="7" t="s">
        <v>54</v>
      </c>
      <c r="N15" s="7" t="s">
        <v>38</v>
      </c>
      <c r="O15" s="7" t="s">
        <v>74</v>
      </c>
      <c r="P15" s="7" t="s">
        <v>81</v>
      </c>
      <c r="Q15" s="10">
        <f>IF(P15="None of the above",0,2)</f>
      </c>
      <c r="R15" s="7" t="s">
        <v>89</v>
      </c>
      <c r="S15" s="7" t="s">
        <v>48</v>
      </c>
      <c r="T15" s="7" t="s">
        <v>96</v>
      </c>
      <c r="U15" s="10">
        <f>IF(T15="Heavy physical",0,IF(T15="Moderate activity",1,2))</f>
      </c>
      <c r="V15" s="5" t="s">
        <v>97</v>
      </c>
      <c r="W15" s="10">
        <f>IF(V15="7–8 hours",0,IF(V15="6–7 hours",1,2))</f>
      </c>
      <c r="X15" s="7" t="s">
        <v>45</v>
      </c>
      <c r="Y15" s="7" t="s">
        <v>64</v>
      </c>
      <c r="Z15" s="7" t="s">
        <v>47</v>
      </c>
      <c r="AA15" s="7" t="s">
        <v>48</v>
      </c>
      <c r="AB15" s="7" t="s">
        <v>42</v>
      </c>
      <c r="AC15" s="7" t="s">
        <v>48</v>
      </c>
      <c r="AD15" s="10">
        <f>I15 + Q15 + U15 + W15</f>
      </c>
      <c r="AE15" s="10">
        <f>IF(AD15&lt;=2,0,IF(AD15&lt;=5,1,2))</f>
      </c>
      <c r="AF15" s="7"/>
    </row>
    <row x14ac:dyDescent="0.25" r="16" customHeight="1" ht="17.25" hidden="1">
      <c r="A16" s="7" t="s">
        <v>31</v>
      </c>
      <c r="B16" s="7" t="s">
        <v>77</v>
      </c>
      <c r="C16" s="7" t="s">
        <v>33</v>
      </c>
      <c r="D16" s="10">
        <v>4</v>
      </c>
      <c r="E16" s="7" t="s">
        <v>51</v>
      </c>
      <c r="F16" s="10">
        <v>165</v>
      </c>
      <c r="G16" s="11">
        <v>56</v>
      </c>
      <c r="H16" s="12">
        <f>G16/((F16/100)*(F16/100))</f>
      </c>
      <c r="I16" s="11">
        <f>IF(H16&lt;25,0,IF(H16&lt;30,1,2))</f>
      </c>
      <c r="J16" s="13">
        <v>1</v>
      </c>
      <c r="K16" s="7" t="s">
        <v>72</v>
      </c>
      <c r="L16" s="7" t="s">
        <v>94</v>
      </c>
      <c r="M16" s="7" t="s">
        <v>37</v>
      </c>
      <c r="N16" s="7" t="s">
        <v>38</v>
      </c>
      <c r="O16" s="7" t="s">
        <v>74</v>
      </c>
      <c r="P16" s="7" t="s">
        <v>40</v>
      </c>
      <c r="Q16" s="10">
        <f>IF(P16="None of the above",0,2)</f>
      </c>
      <c r="R16" s="7" t="s">
        <v>56</v>
      </c>
      <c r="S16" s="7" t="s">
        <v>42</v>
      </c>
      <c r="T16" s="7" t="s">
        <v>43</v>
      </c>
      <c r="U16" s="10">
        <f>IF(T16="Heavy physical",0,IF(T16="Moderate activity",1,2))</f>
      </c>
      <c r="V16" s="5" t="s">
        <v>69</v>
      </c>
      <c r="W16" s="10">
        <f>IF(V16="7–8 hours",0,IF(V16="6–7 hours",1,2))</f>
      </c>
      <c r="X16" s="7" t="s">
        <v>83</v>
      </c>
      <c r="Y16" s="7" t="s">
        <v>64</v>
      </c>
      <c r="Z16" s="7" t="s">
        <v>47</v>
      </c>
      <c r="AA16" s="7" t="s">
        <v>42</v>
      </c>
      <c r="AB16" s="7" t="s">
        <v>42</v>
      </c>
      <c r="AC16" s="7" t="s">
        <v>42</v>
      </c>
      <c r="AD16" s="10">
        <f>I16 + Q16 + U16 + W16</f>
      </c>
      <c r="AE16" s="10">
        <f>IF(AD16&lt;=2,0,IF(AD16&lt;=5,1,2))</f>
      </c>
      <c r="AF16" s="7"/>
    </row>
    <row x14ac:dyDescent="0.25" r="17" customHeight="1" ht="17.25" hidden="1">
      <c r="A17" s="7" t="s">
        <v>76</v>
      </c>
      <c r="B17" s="7" t="s">
        <v>66</v>
      </c>
      <c r="C17" s="7" t="s">
        <v>50</v>
      </c>
      <c r="D17" s="10">
        <v>2</v>
      </c>
      <c r="E17" s="7" t="s">
        <v>34</v>
      </c>
      <c r="F17" s="10">
        <v>176</v>
      </c>
      <c r="G17" s="11">
        <v>81</v>
      </c>
      <c r="H17" s="12">
        <f>G17/((F17/100)*(F17/100))</f>
      </c>
      <c r="I17" s="11">
        <f>IF(H17&lt;25,0,IF(H17&lt;30,1,2))</f>
      </c>
      <c r="J17" s="13">
        <v>2</v>
      </c>
      <c r="K17" s="7" t="s">
        <v>61</v>
      </c>
      <c r="L17" s="7" t="s">
        <v>98</v>
      </c>
      <c r="M17" s="7" t="s">
        <v>54</v>
      </c>
      <c r="N17" s="7" t="s">
        <v>38</v>
      </c>
      <c r="O17" s="7" t="s">
        <v>80</v>
      </c>
      <c r="P17" s="7" t="s">
        <v>55</v>
      </c>
      <c r="Q17" s="10">
        <f>IF(P17="None of the above",0,2)</f>
      </c>
      <c r="R17" s="15" t="s">
        <v>56</v>
      </c>
      <c r="S17" s="7" t="s">
        <v>42</v>
      </c>
      <c r="T17" s="7" t="s">
        <v>99</v>
      </c>
      <c r="U17" s="10">
        <f>IF(T17="Heavy physical",0,IF(T17="Moderate activity",1,2))</f>
      </c>
      <c r="V17" s="5" t="s">
        <v>97</v>
      </c>
      <c r="W17" s="10">
        <f>IF(V17="7–8 hours",0,IF(V17="6–7 hours",1,2))</f>
      </c>
      <c r="X17" s="7" t="s">
        <v>45</v>
      </c>
      <c r="Y17" s="7" t="s">
        <v>64</v>
      </c>
      <c r="Z17" s="7" t="s">
        <v>47</v>
      </c>
      <c r="AA17" s="7" t="s">
        <v>48</v>
      </c>
      <c r="AB17" s="7" t="s">
        <v>48</v>
      </c>
      <c r="AC17" s="7" t="s">
        <v>48</v>
      </c>
      <c r="AD17" s="10">
        <f>I17 + Q17 + U17 + W17</f>
      </c>
      <c r="AE17" s="10">
        <f>IF(AD17&lt;=2,0,IF(AD17&lt;=5,1,2))</f>
      </c>
      <c r="AF17" s="7"/>
    </row>
    <row x14ac:dyDescent="0.25" r="18" customHeight="1" ht="17.25" hidden="1">
      <c r="A18" s="7" t="s">
        <v>76</v>
      </c>
      <c r="B18" s="7" t="s">
        <v>71</v>
      </c>
      <c r="C18" s="7" t="s">
        <v>33</v>
      </c>
      <c r="D18" s="10">
        <v>5</v>
      </c>
      <c r="E18" s="7" t="s">
        <v>34</v>
      </c>
      <c r="F18" s="10">
        <v>158</v>
      </c>
      <c r="G18" s="11">
        <v>91</v>
      </c>
      <c r="H18" s="12">
        <f>G18/((F18/100)*(F18/100))</f>
      </c>
      <c r="I18" s="11">
        <f>IF(H18&lt;25,0,IF(H18&lt;30,1,2))</f>
      </c>
      <c r="J18" s="13">
        <v>2</v>
      </c>
      <c r="K18" s="7" t="s">
        <v>52</v>
      </c>
      <c r="L18" s="7" t="s">
        <v>100</v>
      </c>
      <c r="M18" s="7" t="s">
        <v>37</v>
      </c>
      <c r="N18" s="7" t="s">
        <v>38</v>
      </c>
      <c r="O18" s="7" t="s">
        <v>39</v>
      </c>
      <c r="P18" s="7" t="s">
        <v>81</v>
      </c>
      <c r="Q18" s="10">
        <f>IF(P18="None of the above",0,2)</f>
      </c>
      <c r="R18" s="7" t="s">
        <v>89</v>
      </c>
      <c r="S18" s="7" t="s">
        <v>48</v>
      </c>
      <c r="T18" s="7" t="s">
        <v>96</v>
      </c>
      <c r="U18" s="10">
        <f>IF(T18="Heavy physical",0,IF(T18="Moderate activity",1,2))</f>
      </c>
      <c r="V18" s="5" t="s">
        <v>44</v>
      </c>
      <c r="W18" s="10">
        <f>IF(V18="7–8 hours",0,IF(V18="6–7 hours",1,2))</f>
      </c>
      <c r="X18" s="7" t="s">
        <v>45</v>
      </c>
      <c r="Y18" s="7" t="s">
        <v>64</v>
      </c>
      <c r="Z18" s="7" t="s">
        <v>45</v>
      </c>
      <c r="AA18" s="7" t="s">
        <v>42</v>
      </c>
      <c r="AB18" s="7" t="s">
        <v>42</v>
      </c>
      <c r="AC18" s="7" t="s">
        <v>42</v>
      </c>
      <c r="AD18" s="10">
        <f>I18 + Q18 + U18 + W18</f>
      </c>
      <c r="AE18" s="10">
        <f>IF(AD18&lt;=2,0,IF(AD18&lt;=5,1,2))</f>
      </c>
      <c r="AF18" s="7"/>
    </row>
    <row x14ac:dyDescent="0.25" r="19" customHeight="1" ht="17.25" hidden="1">
      <c r="A19" s="7" t="s">
        <v>76</v>
      </c>
      <c r="B19" s="7" t="s">
        <v>84</v>
      </c>
      <c r="C19" s="7" t="s">
        <v>50</v>
      </c>
      <c r="D19" s="10">
        <v>7</v>
      </c>
      <c r="E19" s="7" t="s">
        <v>51</v>
      </c>
      <c r="F19" s="10">
        <v>193</v>
      </c>
      <c r="G19" s="11">
        <v>106</v>
      </c>
      <c r="H19" s="12">
        <f>G19/((F19/100)*(F19/100))</f>
      </c>
      <c r="I19" s="11">
        <f>IF(H19&lt;25,0,IF(H19&lt;30,1,2))</f>
      </c>
      <c r="J19" s="13">
        <v>3</v>
      </c>
      <c r="K19" s="7" t="s">
        <v>35</v>
      </c>
      <c r="L19" s="7" t="s">
        <v>101</v>
      </c>
      <c r="M19" s="7" t="s">
        <v>37</v>
      </c>
      <c r="N19" s="7" t="s">
        <v>38</v>
      </c>
      <c r="O19" s="7" t="s">
        <v>39</v>
      </c>
      <c r="P19" s="7" t="s">
        <v>55</v>
      </c>
      <c r="Q19" s="10">
        <f>IF(P19="None of the above",0,2)</f>
      </c>
      <c r="R19" s="15" t="s">
        <v>56</v>
      </c>
      <c r="S19" s="7" t="s">
        <v>48</v>
      </c>
      <c r="T19" s="7" t="s">
        <v>43</v>
      </c>
      <c r="U19" s="10">
        <f>IF(T19="Heavy physical",0,IF(T19="Moderate activity",1,2))</f>
      </c>
      <c r="V19" s="5" t="s">
        <v>57</v>
      </c>
      <c r="W19" s="10">
        <f>IF(V19="7–8 hours",0,IF(V19="6–7 hours",1,2))</f>
      </c>
      <c r="X19" s="7" t="s">
        <v>102</v>
      </c>
      <c r="Y19" s="7" t="s">
        <v>46</v>
      </c>
      <c r="Z19" s="7" t="s">
        <v>65</v>
      </c>
      <c r="AA19" s="7" t="s">
        <v>42</v>
      </c>
      <c r="AB19" s="7" t="s">
        <v>42</v>
      </c>
      <c r="AC19" s="7" t="s">
        <v>42</v>
      </c>
      <c r="AD19" s="10">
        <f>I19 + Q19 + U19 + W19</f>
      </c>
      <c r="AE19" s="10">
        <f>IF(AD19&lt;=2,0,IF(AD19&lt;=5,1,2))</f>
      </c>
      <c r="AF19" s="7"/>
    </row>
    <row x14ac:dyDescent="0.25" r="20" customHeight="1" ht="17.25" hidden="1">
      <c r="A20" s="7" t="s">
        <v>31</v>
      </c>
      <c r="B20" s="7" t="s">
        <v>77</v>
      </c>
      <c r="C20" s="7" t="s">
        <v>78</v>
      </c>
      <c r="D20" s="10">
        <v>3</v>
      </c>
      <c r="E20" s="7" t="s">
        <v>34</v>
      </c>
      <c r="F20" s="10">
        <v>194</v>
      </c>
      <c r="G20" s="11">
        <v>118</v>
      </c>
      <c r="H20" s="12">
        <f>G20/((F20/100)*(F20/100))</f>
      </c>
      <c r="I20" s="11">
        <f>IF(H20&lt;25,0,IF(H20&lt;30,1,2))</f>
      </c>
      <c r="J20" s="13">
        <v>3</v>
      </c>
      <c r="K20" s="7" t="s">
        <v>52</v>
      </c>
      <c r="L20" s="7" t="s">
        <v>103</v>
      </c>
      <c r="M20" s="7" t="s">
        <v>54</v>
      </c>
      <c r="N20" s="7" t="s">
        <v>38</v>
      </c>
      <c r="O20" s="7" t="s">
        <v>63</v>
      </c>
      <c r="P20" s="7" t="s">
        <v>40</v>
      </c>
      <c r="Q20" s="10">
        <f>IF(P20="None of the above",0,2)</f>
      </c>
      <c r="R20" s="7" t="s">
        <v>41</v>
      </c>
      <c r="S20" s="7" t="s">
        <v>42</v>
      </c>
      <c r="T20" s="7" t="s">
        <v>99</v>
      </c>
      <c r="U20" s="10">
        <f>IF(T20="Heavy physical",0,IF(T20="Moderate activity",1,2))</f>
      </c>
      <c r="V20" s="5" t="s">
        <v>97</v>
      </c>
      <c r="W20" s="10">
        <f>IF(V20="7–8 hours",0,IF(V20="6–7 hours",1,2))</f>
      </c>
      <c r="X20" s="7" t="s">
        <v>45</v>
      </c>
      <c r="Y20" s="7" t="s">
        <v>58</v>
      </c>
      <c r="Z20" s="7" t="s">
        <v>45</v>
      </c>
      <c r="AA20" s="7" t="s">
        <v>48</v>
      </c>
      <c r="AB20" s="7" t="s">
        <v>48</v>
      </c>
      <c r="AC20" s="7" t="s">
        <v>48</v>
      </c>
      <c r="AD20" s="10">
        <f>I20 + Q20 + U20 + W20</f>
      </c>
      <c r="AE20" s="10">
        <f>IF(AD20&lt;=2,0,IF(AD20&lt;=5,1,2))</f>
      </c>
      <c r="AF20" s="7"/>
    </row>
    <row x14ac:dyDescent="0.25" r="21" customHeight="1" ht="17.25" hidden="1">
      <c r="A21" s="7" t="s">
        <v>31</v>
      </c>
      <c r="B21" s="7" t="s">
        <v>59</v>
      </c>
      <c r="C21" s="7" t="s">
        <v>50</v>
      </c>
      <c r="D21" s="10">
        <v>5</v>
      </c>
      <c r="E21" s="7" t="s">
        <v>51</v>
      </c>
      <c r="F21" s="10">
        <v>184</v>
      </c>
      <c r="G21" s="11">
        <v>79</v>
      </c>
      <c r="H21" s="12">
        <f>G21/((F21/100)*(F21/100))</f>
      </c>
      <c r="I21" s="11">
        <f>IF(H21&lt;25,0,IF(H21&lt;30,1,2))</f>
      </c>
      <c r="J21" s="13">
        <v>3</v>
      </c>
      <c r="K21" s="7" t="s">
        <v>35</v>
      </c>
      <c r="L21" s="7" t="s">
        <v>104</v>
      </c>
      <c r="M21" s="7" t="s">
        <v>37</v>
      </c>
      <c r="N21" s="7" t="s">
        <v>38</v>
      </c>
      <c r="O21" s="7" t="s">
        <v>80</v>
      </c>
      <c r="P21" s="7" t="s">
        <v>81</v>
      </c>
      <c r="Q21" s="10">
        <f>IF(P21="None of the above",0,2)</f>
      </c>
      <c r="R21" s="7" t="s">
        <v>89</v>
      </c>
      <c r="S21" s="7" t="s">
        <v>42</v>
      </c>
      <c r="T21" s="7" t="s">
        <v>43</v>
      </c>
      <c r="U21" s="10">
        <f>IF(T21="Heavy physical",0,IF(T21="Moderate activity",1,2))</f>
      </c>
      <c r="V21" s="5" t="s">
        <v>57</v>
      </c>
      <c r="W21" s="10">
        <f>IF(V21="7–8 hours",0,IF(V21="6–7 hours",1,2))</f>
      </c>
      <c r="X21" s="7" t="s">
        <v>45</v>
      </c>
      <c r="Y21" s="7" t="s">
        <v>64</v>
      </c>
      <c r="Z21" s="7" t="s">
        <v>47</v>
      </c>
      <c r="AA21" s="7" t="s">
        <v>42</v>
      </c>
      <c r="AB21" s="7" t="s">
        <v>42</v>
      </c>
      <c r="AC21" s="7" t="s">
        <v>42</v>
      </c>
      <c r="AD21" s="10">
        <f>I21 + Q21 + U21 + W21</f>
      </c>
      <c r="AE21" s="10">
        <f>IF(AD21&lt;=2,0,IF(AD21&lt;=5,1,2))</f>
      </c>
      <c r="AF21" s="7"/>
    </row>
    <row x14ac:dyDescent="0.25" r="22" customHeight="1" ht="17.25" hidden="1">
      <c r="A22" s="7" t="s">
        <v>31</v>
      </c>
      <c r="B22" s="7" t="s">
        <v>93</v>
      </c>
      <c r="C22" s="7" t="s">
        <v>50</v>
      </c>
      <c r="D22" s="10">
        <v>6</v>
      </c>
      <c r="E22" s="7" t="s">
        <v>34</v>
      </c>
      <c r="F22" s="10">
        <v>154</v>
      </c>
      <c r="G22" s="11">
        <v>53</v>
      </c>
      <c r="H22" s="12">
        <f>G22/((F22/100)*(F22/100))</f>
      </c>
      <c r="I22" s="11">
        <f>IF(H22&lt;25,0,IF(H22&lt;30,1,2))</f>
      </c>
      <c r="J22" s="13">
        <v>3</v>
      </c>
      <c r="K22" s="7" t="s">
        <v>105</v>
      </c>
      <c r="L22" s="7" t="s">
        <v>106</v>
      </c>
      <c r="M22" s="7" t="s">
        <v>54</v>
      </c>
      <c r="N22" s="7" t="s">
        <v>38</v>
      </c>
      <c r="O22" s="7" t="s">
        <v>80</v>
      </c>
      <c r="P22" s="7" t="s">
        <v>55</v>
      </c>
      <c r="Q22" s="10">
        <f>IF(P22="None of the above",0,2)</f>
      </c>
      <c r="R22" s="15" t="s">
        <v>56</v>
      </c>
      <c r="S22" s="15" t="s">
        <v>48</v>
      </c>
      <c r="T22" s="7" t="s">
        <v>99</v>
      </c>
      <c r="U22" s="10">
        <f>IF(T22="Heavy physical",0,IF(T22="Moderate activity",1,2))</f>
      </c>
      <c r="V22" s="5" t="s">
        <v>97</v>
      </c>
      <c r="W22" s="10">
        <f>IF(V22="7–8 hours",0,IF(V22="6–7 hours",1,2))</f>
      </c>
      <c r="X22" s="7" t="s">
        <v>45</v>
      </c>
      <c r="Y22" s="7" t="s">
        <v>64</v>
      </c>
      <c r="Z22" s="7" t="s">
        <v>45</v>
      </c>
      <c r="AA22" s="7" t="s">
        <v>42</v>
      </c>
      <c r="AB22" s="7" t="s">
        <v>48</v>
      </c>
      <c r="AC22" s="7" t="s">
        <v>48</v>
      </c>
      <c r="AD22" s="10">
        <f>I22 + Q22 + U22 + W22</f>
      </c>
      <c r="AE22" s="10">
        <f>IF(AD22&lt;=2,0,IF(AD22&lt;=5,1,2))</f>
      </c>
      <c r="AF22" s="7"/>
    </row>
    <row x14ac:dyDescent="0.25" r="23" customHeight="1" ht="17.25" hidden="1">
      <c r="A23" s="7" t="s">
        <v>31</v>
      </c>
      <c r="B23" s="7" t="s">
        <v>71</v>
      </c>
      <c r="C23" s="7" t="s">
        <v>60</v>
      </c>
      <c r="D23" s="10">
        <v>3</v>
      </c>
      <c r="E23" s="7" t="s">
        <v>34</v>
      </c>
      <c r="F23" s="10">
        <v>160</v>
      </c>
      <c r="G23" s="11">
        <v>116</v>
      </c>
      <c r="H23" s="12">
        <f>G23/((F23/100)*(F23/100))</f>
      </c>
      <c r="I23" s="11">
        <f>IF(H23&lt;25,0,IF(H23&lt;30,1,2))</f>
      </c>
      <c r="J23" s="13">
        <v>2</v>
      </c>
      <c r="K23" s="7" t="s">
        <v>105</v>
      </c>
      <c r="L23" s="7" t="s">
        <v>79</v>
      </c>
      <c r="M23" s="7" t="s">
        <v>37</v>
      </c>
      <c r="N23" s="7" t="s">
        <v>38</v>
      </c>
      <c r="O23" s="7" t="s">
        <v>80</v>
      </c>
      <c r="P23" s="7" t="s">
        <v>40</v>
      </c>
      <c r="Q23" s="10">
        <f>IF(P23="None of the above",0,2)</f>
      </c>
      <c r="R23" s="15" t="s">
        <v>56</v>
      </c>
      <c r="S23" s="7" t="s">
        <v>42</v>
      </c>
      <c r="T23" s="7" t="s">
        <v>96</v>
      </c>
      <c r="U23" s="10">
        <f>IF(T23="Heavy physical",0,IF(T23="Moderate activity",1,2))</f>
      </c>
      <c r="V23" s="5" t="s">
        <v>97</v>
      </c>
      <c r="W23" s="10">
        <f>IF(V23="7–8 hours",0,IF(V23="6–7 hours",1,2))</f>
      </c>
      <c r="X23" s="7" t="s">
        <v>70</v>
      </c>
      <c r="Y23" s="7" t="s">
        <v>64</v>
      </c>
      <c r="Z23" s="7" t="s">
        <v>47</v>
      </c>
      <c r="AA23" s="7" t="s">
        <v>48</v>
      </c>
      <c r="AB23" s="7" t="s">
        <v>42</v>
      </c>
      <c r="AC23" s="7" t="s">
        <v>42</v>
      </c>
      <c r="AD23" s="10">
        <f>I23 + Q23 + U23 + W23</f>
      </c>
      <c r="AE23" s="10">
        <f>IF(AD23&lt;=2,0,IF(AD23&lt;=5,1,2))</f>
      </c>
      <c r="AF23" s="7"/>
    </row>
    <row x14ac:dyDescent="0.25" r="24" customHeight="1" ht="17.25" hidden="1">
      <c r="A24" s="7" t="s">
        <v>31</v>
      </c>
      <c r="B24" s="7" t="s">
        <v>77</v>
      </c>
      <c r="C24" s="7" t="s">
        <v>33</v>
      </c>
      <c r="D24" s="10">
        <v>2</v>
      </c>
      <c r="E24" s="7" t="s">
        <v>34</v>
      </c>
      <c r="F24" s="10">
        <v>187</v>
      </c>
      <c r="G24" s="11">
        <v>101</v>
      </c>
      <c r="H24" s="12">
        <f>G24/((F24/100)*(F24/100))</f>
      </c>
      <c r="I24" s="11">
        <f>IF(H24&lt;25,0,IF(H24&lt;30,1,2))</f>
      </c>
      <c r="J24" s="13">
        <v>3</v>
      </c>
      <c r="K24" s="7" t="s">
        <v>72</v>
      </c>
      <c r="L24" s="7" t="s">
        <v>107</v>
      </c>
      <c r="M24" s="7" t="s">
        <v>37</v>
      </c>
      <c r="N24" s="7" t="s">
        <v>38</v>
      </c>
      <c r="O24" s="7" t="s">
        <v>63</v>
      </c>
      <c r="P24" s="7" t="s">
        <v>81</v>
      </c>
      <c r="Q24" s="10">
        <f>IF(P24="None of the above",0,2)</f>
      </c>
      <c r="R24" s="7" t="s">
        <v>89</v>
      </c>
      <c r="S24" s="15" t="s">
        <v>48</v>
      </c>
      <c r="T24" s="7" t="s">
        <v>82</v>
      </c>
      <c r="U24" s="10">
        <f>IF(T24="Heavy physical",0,IF(T24="Moderate activity",1,2))</f>
      </c>
      <c r="V24" s="5" t="s">
        <v>97</v>
      </c>
      <c r="W24" s="10">
        <f>IF(V24="7–8 hours",0,IF(V24="6–7 hours",1,2))</f>
      </c>
      <c r="X24" s="7" t="s">
        <v>45</v>
      </c>
      <c r="Y24" s="7" t="s">
        <v>64</v>
      </c>
      <c r="Z24" s="7" t="s">
        <v>92</v>
      </c>
      <c r="AA24" s="7" t="s">
        <v>48</v>
      </c>
      <c r="AB24" s="7" t="s">
        <v>42</v>
      </c>
      <c r="AC24" s="7" t="s">
        <v>42</v>
      </c>
      <c r="AD24" s="10">
        <f>I24 + Q24 + U24 + W24</f>
      </c>
      <c r="AE24" s="10">
        <f>IF(AD24&lt;=2,0,IF(AD24&lt;=5,1,2))</f>
      </c>
      <c r="AF24" s="7"/>
    </row>
    <row x14ac:dyDescent="0.25" r="25" customHeight="1" ht="17.25" hidden="1">
      <c r="A25" s="7" t="s">
        <v>31</v>
      </c>
      <c r="B25" s="7" t="s">
        <v>77</v>
      </c>
      <c r="C25" s="7" t="s">
        <v>50</v>
      </c>
      <c r="D25" s="10">
        <v>8</v>
      </c>
      <c r="E25" s="7" t="s">
        <v>34</v>
      </c>
      <c r="F25" s="10">
        <v>167</v>
      </c>
      <c r="G25" s="11">
        <v>56</v>
      </c>
      <c r="H25" s="12">
        <f>G25/((F25/100)*(F25/100))</f>
      </c>
      <c r="I25" s="11">
        <f>IF(H25&lt;25,0,IF(H25&lt;30,1,2))</f>
      </c>
      <c r="J25" s="13">
        <v>3</v>
      </c>
      <c r="K25" s="7" t="s">
        <v>61</v>
      </c>
      <c r="L25" s="7" t="s">
        <v>108</v>
      </c>
      <c r="M25" s="7" t="s">
        <v>37</v>
      </c>
      <c r="N25" s="7" t="s">
        <v>38</v>
      </c>
      <c r="O25" s="7" t="s">
        <v>63</v>
      </c>
      <c r="P25" s="7" t="s">
        <v>81</v>
      </c>
      <c r="Q25" s="10">
        <f>IF(P25="None of the above",0,2)</f>
      </c>
      <c r="R25" s="7" t="s">
        <v>89</v>
      </c>
      <c r="S25" s="15" t="s">
        <v>48</v>
      </c>
      <c r="T25" s="7" t="s">
        <v>82</v>
      </c>
      <c r="U25" s="10">
        <f>IF(T25="Heavy physical",0,IF(T25="Moderate activity",1,2))</f>
      </c>
      <c r="V25" s="5" t="s">
        <v>97</v>
      </c>
      <c r="W25" s="10">
        <f>IF(V25="7–8 hours",0,IF(V25="6–7 hours",1,2))</f>
      </c>
      <c r="X25" s="7" t="s">
        <v>45</v>
      </c>
      <c r="Y25" s="7" t="s">
        <v>46</v>
      </c>
      <c r="Z25" s="7" t="s">
        <v>45</v>
      </c>
      <c r="AA25" s="7" t="s">
        <v>42</v>
      </c>
      <c r="AB25" s="7" t="s">
        <v>48</v>
      </c>
      <c r="AC25" s="7" t="s">
        <v>48</v>
      </c>
      <c r="AD25" s="10">
        <f>I25 + Q25 + U25 + W25</f>
      </c>
      <c r="AE25" s="10">
        <f>IF(AD25&lt;=2,0,IF(AD25&lt;=5,1,2))</f>
      </c>
      <c r="AF25" s="7"/>
    </row>
    <row x14ac:dyDescent="0.25" r="26" customHeight="1" ht="17.25" hidden="1">
      <c r="A26" s="7" t="s">
        <v>76</v>
      </c>
      <c r="B26" s="7" t="s">
        <v>77</v>
      </c>
      <c r="C26" s="7" t="s">
        <v>33</v>
      </c>
      <c r="D26" s="10">
        <v>8</v>
      </c>
      <c r="E26" s="7" t="s">
        <v>34</v>
      </c>
      <c r="F26" s="10">
        <v>174</v>
      </c>
      <c r="G26" s="11">
        <v>69</v>
      </c>
      <c r="H26" s="12">
        <f>G26/((F26/100)*(F26/100))</f>
      </c>
      <c r="I26" s="11">
        <f>IF(H26&lt;25,0,IF(H26&lt;30,1,2))</f>
      </c>
      <c r="J26" s="13">
        <v>1</v>
      </c>
      <c r="K26" s="7" t="s">
        <v>35</v>
      </c>
      <c r="L26" s="7" t="s">
        <v>109</v>
      </c>
      <c r="M26" s="7" t="s">
        <v>37</v>
      </c>
      <c r="N26" s="7" t="s">
        <v>38</v>
      </c>
      <c r="O26" s="7" t="s">
        <v>39</v>
      </c>
      <c r="P26" s="7" t="s">
        <v>40</v>
      </c>
      <c r="Q26" s="10">
        <f>IF(P26="None of the above",0,2)</f>
      </c>
      <c r="R26" s="7" t="s">
        <v>56</v>
      </c>
      <c r="S26" s="7" t="s">
        <v>42</v>
      </c>
      <c r="T26" s="7" t="s">
        <v>82</v>
      </c>
      <c r="U26" s="10">
        <f>IF(T26="Heavy physical",0,IF(T26="Moderate activity",1,2))</f>
      </c>
      <c r="V26" s="5" t="s">
        <v>69</v>
      </c>
      <c r="W26" s="10">
        <f>IF(V26="7–8 hours",0,IF(V26="6–7 hours",1,2))</f>
      </c>
      <c r="X26" s="7" t="s">
        <v>70</v>
      </c>
      <c r="Y26" s="7" t="s">
        <v>64</v>
      </c>
      <c r="Z26" s="7" t="s">
        <v>45</v>
      </c>
      <c r="AA26" s="7" t="s">
        <v>48</v>
      </c>
      <c r="AB26" s="7" t="s">
        <v>48</v>
      </c>
      <c r="AC26" s="7" t="s">
        <v>42</v>
      </c>
      <c r="AD26" s="10">
        <f>I26 + Q26 + U26 + W26</f>
      </c>
      <c r="AE26" s="10">
        <f>IF(AD26&lt;=2,0,IF(AD26&lt;=5,1,2))</f>
      </c>
      <c r="AF26" s="7"/>
    </row>
    <row x14ac:dyDescent="0.25" r="27" customHeight="1" ht="17.25" hidden="1">
      <c r="A27" s="7" t="s">
        <v>49</v>
      </c>
      <c r="B27" s="7" t="s">
        <v>59</v>
      </c>
      <c r="C27" s="15" t="s">
        <v>110</v>
      </c>
      <c r="D27" s="10">
        <v>7</v>
      </c>
      <c r="E27" s="7" t="s">
        <v>34</v>
      </c>
      <c r="F27" s="10">
        <v>200</v>
      </c>
      <c r="G27" s="11">
        <v>100</v>
      </c>
      <c r="H27" s="11">
        <f>G27/((F27/100)*(F27/100))</f>
      </c>
      <c r="I27" s="11">
        <f>IF(H27&lt;25,0,IF(H27&lt;30,1,2))</f>
      </c>
      <c r="J27" s="13">
        <v>1</v>
      </c>
      <c r="K27" s="7" t="s">
        <v>72</v>
      </c>
      <c r="L27" s="7" t="s">
        <v>111</v>
      </c>
      <c r="M27" s="7" t="s">
        <v>54</v>
      </c>
      <c r="N27" s="7" t="s">
        <v>38</v>
      </c>
      <c r="O27" s="7" t="s">
        <v>80</v>
      </c>
      <c r="P27" s="7" t="s">
        <v>55</v>
      </c>
      <c r="Q27" s="10">
        <f>IF(P27="None of the above",0,2)</f>
      </c>
      <c r="R27" s="15" t="s">
        <v>56</v>
      </c>
      <c r="S27" s="15" t="s">
        <v>48</v>
      </c>
      <c r="T27" s="7" t="s">
        <v>99</v>
      </c>
      <c r="U27" s="10">
        <f>IF(T27="Heavy physical",0,IF(T27="Moderate activity",1,2))</f>
      </c>
      <c r="V27" s="5" t="s">
        <v>57</v>
      </c>
      <c r="W27" s="10">
        <f>IF(V27="7–8 hours",0,IF(V27="6–7 hours",1,2))</f>
      </c>
      <c r="X27" s="7" t="s">
        <v>70</v>
      </c>
      <c r="Y27" s="7" t="s">
        <v>64</v>
      </c>
      <c r="Z27" s="7" t="s">
        <v>45</v>
      </c>
      <c r="AA27" s="7" t="s">
        <v>48</v>
      </c>
      <c r="AB27" s="7" t="s">
        <v>42</v>
      </c>
      <c r="AC27" s="7" t="s">
        <v>42</v>
      </c>
      <c r="AD27" s="10">
        <f>I27 + Q27 + U27 + W27</f>
      </c>
      <c r="AE27" s="10">
        <f>IF(AD27&lt;=2,0,IF(AD27&lt;=5,1,2))</f>
      </c>
      <c r="AF27" s="7"/>
    </row>
    <row x14ac:dyDescent="0.25" r="28" customHeight="1" ht="17.25" hidden="1">
      <c r="A28" s="7" t="s">
        <v>76</v>
      </c>
      <c r="B28" s="7" t="s">
        <v>59</v>
      </c>
      <c r="C28" s="7" t="s">
        <v>50</v>
      </c>
      <c r="D28" s="10">
        <v>4</v>
      </c>
      <c r="E28" s="7" t="s">
        <v>34</v>
      </c>
      <c r="F28" s="10">
        <v>193</v>
      </c>
      <c r="G28" s="11">
        <v>92</v>
      </c>
      <c r="H28" s="12">
        <f>G28/((F28/100)*(F28/100))</f>
      </c>
      <c r="I28" s="11">
        <f>IF(H28&lt;25,0,IF(H28&lt;30,1,2))</f>
      </c>
      <c r="J28" s="13">
        <v>3</v>
      </c>
      <c r="K28" s="7" t="s">
        <v>35</v>
      </c>
      <c r="L28" s="7" t="s">
        <v>112</v>
      </c>
      <c r="M28" s="7" t="s">
        <v>37</v>
      </c>
      <c r="N28" s="7" t="s">
        <v>38</v>
      </c>
      <c r="O28" s="7" t="s">
        <v>39</v>
      </c>
      <c r="P28" s="7" t="s">
        <v>81</v>
      </c>
      <c r="Q28" s="10">
        <f>IF(P28="None of the above",0,2)</f>
      </c>
      <c r="R28" s="7" t="s">
        <v>89</v>
      </c>
      <c r="S28" s="7" t="s">
        <v>42</v>
      </c>
      <c r="T28" s="7" t="s">
        <v>96</v>
      </c>
      <c r="U28" s="10">
        <f>IF(T28="Heavy physical",0,IF(T28="Moderate activity",1,2))</f>
      </c>
      <c r="V28" s="5" t="s">
        <v>57</v>
      </c>
      <c r="W28" s="10">
        <f>IF(V28="7–8 hours",0,IF(V28="6–7 hours",1,2))</f>
      </c>
      <c r="X28" s="7" t="s">
        <v>45</v>
      </c>
      <c r="Y28" s="7" t="s">
        <v>64</v>
      </c>
      <c r="Z28" s="7" t="s">
        <v>65</v>
      </c>
      <c r="AA28" s="7" t="s">
        <v>48</v>
      </c>
      <c r="AB28" s="7" t="s">
        <v>48</v>
      </c>
      <c r="AC28" s="7" t="s">
        <v>42</v>
      </c>
      <c r="AD28" s="10">
        <f>I28 + Q28 + U28 + W28</f>
      </c>
      <c r="AE28" s="10">
        <f>IF(AD28&lt;=2,0,IF(AD28&lt;=5,1,2))</f>
      </c>
      <c r="AF28" s="7"/>
    </row>
    <row x14ac:dyDescent="0.25" r="29" customHeight="1" ht="17.25" hidden="1">
      <c r="A29" s="7" t="s">
        <v>76</v>
      </c>
      <c r="B29" s="7" t="s">
        <v>59</v>
      </c>
      <c r="C29" s="7" t="s">
        <v>78</v>
      </c>
      <c r="D29" s="10">
        <v>3</v>
      </c>
      <c r="E29" s="7" t="s">
        <v>51</v>
      </c>
      <c r="F29" s="10">
        <v>185</v>
      </c>
      <c r="G29" s="11">
        <v>100</v>
      </c>
      <c r="H29" s="12">
        <f>G29/((F29/100)*(F29/100))</f>
      </c>
      <c r="I29" s="11">
        <f>IF(H29&lt;25,0,IF(H29&lt;30,1,2))</f>
      </c>
      <c r="J29" s="13">
        <v>3</v>
      </c>
      <c r="K29" s="7" t="s">
        <v>35</v>
      </c>
      <c r="L29" s="7" t="s">
        <v>36</v>
      </c>
      <c r="M29" s="7" t="s">
        <v>54</v>
      </c>
      <c r="N29" s="7" t="s">
        <v>38</v>
      </c>
      <c r="O29" s="7" t="s">
        <v>39</v>
      </c>
      <c r="P29" s="7" t="s">
        <v>81</v>
      </c>
      <c r="Q29" s="10">
        <f>IF(P29="None of the above",0,2)</f>
      </c>
      <c r="R29" s="7" t="s">
        <v>89</v>
      </c>
      <c r="S29" s="7" t="s">
        <v>42</v>
      </c>
      <c r="T29" s="7" t="s">
        <v>96</v>
      </c>
      <c r="U29" s="10">
        <f>IF(T29="Heavy physical",0,IF(T29="Moderate activity",1,2))</f>
      </c>
      <c r="V29" s="5" t="s">
        <v>69</v>
      </c>
      <c r="W29" s="10">
        <f>IF(V29="7–8 hours",0,IF(V29="6–7 hours",1,2))</f>
      </c>
      <c r="X29" s="7" t="s">
        <v>70</v>
      </c>
      <c r="Y29" s="7" t="s">
        <v>64</v>
      </c>
      <c r="Z29" s="7" t="s">
        <v>45</v>
      </c>
      <c r="AA29" s="7" t="s">
        <v>42</v>
      </c>
      <c r="AB29" s="7" t="s">
        <v>42</v>
      </c>
      <c r="AC29" s="7" t="s">
        <v>42</v>
      </c>
      <c r="AD29" s="10">
        <f>I29 + Q29 + U29 + W29</f>
      </c>
      <c r="AE29" s="10">
        <f>IF(AD29&lt;=2,0,IF(AD29&lt;=5,1,2))</f>
      </c>
      <c r="AF29" s="7"/>
    </row>
    <row x14ac:dyDescent="0.25" r="30" customHeight="1" ht="17.25" hidden="1">
      <c r="A30" s="7" t="s">
        <v>31</v>
      </c>
      <c r="B30" s="7" t="s">
        <v>77</v>
      </c>
      <c r="C30" s="7" t="s">
        <v>33</v>
      </c>
      <c r="D30" s="10">
        <v>6</v>
      </c>
      <c r="E30" s="7" t="s">
        <v>51</v>
      </c>
      <c r="F30" s="10">
        <v>143</v>
      </c>
      <c r="G30" s="11">
        <v>106</v>
      </c>
      <c r="H30" s="12">
        <f>G30/((F30/100)*(F30/100))</f>
      </c>
      <c r="I30" s="11">
        <f>IF(H30&lt;25,0,IF(H30&lt;30,1,2))</f>
      </c>
      <c r="J30" s="13">
        <v>2</v>
      </c>
      <c r="K30" s="7" t="s">
        <v>61</v>
      </c>
      <c r="L30" s="7" t="s">
        <v>113</v>
      </c>
      <c r="M30" s="7" t="s">
        <v>41</v>
      </c>
      <c r="N30" s="7" t="s">
        <v>38</v>
      </c>
      <c r="O30" s="7" t="s">
        <v>68</v>
      </c>
      <c r="P30" s="7" t="s">
        <v>40</v>
      </c>
      <c r="Q30" s="10">
        <f>IF(P30="None of the above",0,2)</f>
      </c>
      <c r="R30" s="15" t="s">
        <v>56</v>
      </c>
      <c r="S30" s="7" t="s">
        <v>42</v>
      </c>
      <c r="T30" s="7" t="s">
        <v>82</v>
      </c>
      <c r="U30" s="10">
        <f>IF(T30="Heavy physical",0,IF(T30="Moderate activity",1,2))</f>
      </c>
      <c r="V30" s="5" t="s">
        <v>97</v>
      </c>
      <c r="W30" s="10">
        <f>IF(V30="7–8 hours",0,IF(V30="6–7 hours",1,2))</f>
      </c>
      <c r="X30" s="7" t="s">
        <v>45</v>
      </c>
      <c r="Y30" s="7" t="s">
        <v>64</v>
      </c>
      <c r="Z30" s="7" t="s">
        <v>92</v>
      </c>
      <c r="AA30" s="7" t="s">
        <v>42</v>
      </c>
      <c r="AB30" s="7" t="s">
        <v>42</v>
      </c>
      <c r="AC30" s="7" t="s">
        <v>42</v>
      </c>
      <c r="AD30" s="10">
        <f>I30 + Q30 + U30 + W30</f>
      </c>
      <c r="AE30" s="10">
        <f>IF(AD30&lt;=2,0,IF(AD30&lt;=5,1,2))</f>
      </c>
      <c r="AF30" s="7"/>
    </row>
    <row x14ac:dyDescent="0.25" r="31" customHeight="1" ht="17.25" hidden="1">
      <c r="A31" s="7" t="s">
        <v>31</v>
      </c>
      <c r="B31" s="7" t="s">
        <v>77</v>
      </c>
      <c r="C31" s="7" t="s">
        <v>50</v>
      </c>
      <c r="D31" s="10">
        <v>1</v>
      </c>
      <c r="E31" s="7" t="s">
        <v>51</v>
      </c>
      <c r="F31" s="10">
        <v>145</v>
      </c>
      <c r="G31" s="11">
        <v>119</v>
      </c>
      <c r="H31" s="12">
        <f>G31/((F31/100)*(F31/100))</f>
      </c>
      <c r="I31" s="11">
        <f>IF(H31&lt;25,0,IF(H31&lt;30,1,2))</f>
      </c>
      <c r="J31" s="13">
        <v>3</v>
      </c>
      <c r="K31" s="7" t="s">
        <v>61</v>
      </c>
      <c r="L31" s="7" t="s">
        <v>100</v>
      </c>
      <c r="M31" s="7" t="s">
        <v>41</v>
      </c>
      <c r="N31" s="7" t="s">
        <v>38</v>
      </c>
      <c r="O31" s="7" t="s">
        <v>74</v>
      </c>
      <c r="P31" s="7" t="s">
        <v>55</v>
      </c>
      <c r="Q31" s="10">
        <f>IF(P31="None of the above",0,2)</f>
      </c>
      <c r="R31" s="7" t="s">
        <v>56</v>
      </c>
      <c r="S31" s="7" t="s">
        <v>42</v>
      </c>
      <c r="T31" s="7" t="s">
        <v>82</v>
      </c>
      <c r="U31" s="10">
        <f>IF(T31="Heavy physical",0,IF(T31="Moderate activity",1,2))</f>
      </c>
      <c r="V31" s="5" t="s">
        <v>44</v>
      </c>
      <c r="W31" s="10">
        <f>IF(V31="7–8 hours",0,IF(V31="6–7 hours",1,2))</f>
      </c>
      <c r="X31" s="7" t="s">
        <v>70</v>
      </c>
      <c r="Y31" s="7" t="s">
        <v>58</v>
      </c>
      <c r="Z31" s="7" t="s">
        <v>47</v>
      </c>
      <c r="AA31" s="7" t="s">
        <v>42</v>
      </c>
      <c r="AB31" s="7" t="s">
        <v>42</v>
      </c>
      <c r="AC31" s="7" t="s">
        <v>42</v>
      </c>
      <c r="AD31" s="10">
        <f>I31 + Q31 + U31 + W31</f>
      </c>
      <c r="AE31" s="10">
        <f>IF(AD31&lt;=2,0,IF(AD31&lt;=5,1,2))</f>
      </c>
      <c r="AF31" s="7"/>
    </row>
    <row x14ac:dyDescent="0.25" r="32" customHeight="1" ht="17.25" hidden="1">
      <c r="A32" s="7" t="s">
        <v>76</v>
      </c>
      <c r="B32" s="7" t="s">
        <v>59</v>
      </c>
      <c r="C32" s="7" t="s">
        <v>78</v>
      </c>
      <c r="D32" s="10">
        <v>3</v>
      </c>
      <c r="E32" s="7" t="s">
        <v>51</v>
      </c>
      <c r="F32" s="10">
        <v>199</v>
      </c>
      <c r="G32" s="11">
        <v>117</v>
      </c>
      <c r="H32" s="12">
        <f>G32/((F32/100)*(F32/100))</f>
      </c>
      <c r="I32" s="11">
        <f>IF(H32&lt;25,0,IF(H32&lt;30,1,2))</f>
      </c>
      <c r="J32" s="13">
        <v>1</v>
      </c>
      <c r="K32" s="7" t="s">
        <v>72</v>
      </c>
      <c r="L32" s="7" t="s">
        <v>88</v>
      </c>
      <c r="M32" s="7" t="s">
        <v>37</v>
      </c>
      <c r="N32" s="7" t="s">
        <v>38</v>
      </c>
      <c r="O32" s="7" t="s">
        <v>39</v>
      </c>
      <c r="P32" s="7" t="s">
        <v>81</v>
      </c>
      <c r="Q32" s="10">
        <f>IF(P32="None of the above",0,2)</f>
      </c>
      <c r="R32" s="7" t="s">
        <v>89</v>
      </c>
      <c r="S32" s="7" t="s">
        <v>42</v>
      </c>
      <c r="T32" s="7" t="s">
        <v>96</v>
      </c>
      <c r="U32" s="10">
        <f>IF(T32="Heavy physical",0,IF(T32="Moderate activity",1,2))</f>
      </c>
      <c r="V32" s="5" t="s">
        <v>44</v>
      </c>
      <c r="W32" s="10">
        <f>IF(V32="7–8 hours",0,IF(V32="6–7 hours",1,2))</f>
      </c>
      <c r="X32" s="7" t="s">
        <v>45</v>
      </c>
      <c r="Y32" s="7" t="s">
        <v>64</v>
      </c>
      <c r="Z32" s="7" t="s">
        <v>45</v>
      </c>
      <c r="AA32" s="7" t="s">
        <v>42</v>
      </c>
      <c r="AB32" s="7" t="s">
        <v>42</v>
      </c>
      <c r="AC32" s="7" t="s">
        <v>42</v>
      </c>
      <c r="AD32" s="10">
        <f>I32 + Q32 + U32 + W32</f>
      </c>
      <c r="AE32" s="10">
        <f>IF(AD32&lt;=2,0,IF(AD32&lt;=5,1,2))</f>
      </c>
      <c r="AF32" s="7"/>
    </row>
    <row x14ac:dyDescent="0.25" r="33" customHeight="1" ht="17.25" hidden="1">
      <c r="A33" s="7" t="s">
        <v>31</v>
      </c>
      <c r="B33" s="7" t="s">
        <v>66</v>
      </c>
      <c r="C33" s="7" t="s">
        <v>50</v>
      </c>
      <c r="D33" s="10">
        <v>3</v>
      </c>
      <c r="E33" s="7" t="s">
        <v>34</v>
      </c>
      <c r="F33" s="10">
        <v>146</v>
      </c>
      <c r="G33" s="11">
        <v>119</v>
      </c>
      <c r="H33" s="12">
        <f>G33/((F33/100)*(F33/100))</f>
      </c>
      <c r="I33" s="11">
        <f>IF(H33&lt;25,0,IF(H33&lt;30,1,2))</f>
      </c>
      <c r="J33" s="13">
        <v>2</v>
      </c>
      <c r="K33" s="7" t="s">
        <v>86</v>
      </c>
      <c r="L33" s="7" t="s">
        <v>114</v>
      </c>
      <c r="M33" s="7" t="s">
        <v>37</v>
      </c>
      <c r="N33" s="7" t="s">
        <v>38</v>
      </c>
      <c r="O33" s="7" t="s">
        <v>80</v>
      </c>
      <c r="P33" s="7" t="s">
        <v>81</v>
      </c>
      <c r="Q33" s="10">
        <f>IF(P33="None of the above",0,2)</f>
      </c>
      <c r="R33" s="7" t="s">
        <v>89</v>
      </c>
      <c r="S33" s="7" t="s">
        <v>42</v>
      </c>
      <c r="T33" s="7" t="s">
        <v>43</v>
      </c>
      <c r="U33" s="10">
        <f>IF(T33="Heavy physical",0,IF(T33="Moderate activity",1,2))</f>
      </c>
      <c r="V33" s="5" t="s">
        <v>97</v>
      </c>
      <c r="W33" s="10">
        <f>IF(V33="7–8 hours",0,IF(V33="6–7 hours",1,2))</f>
      </c>
      <c r="X33" s="7" t="s">
        <v>70</v>
      </c>
      <c r="Y33" s="7" t="s">
        <v>46</v>
      </c>
      <c r="Z33" s="7" t="s">
        <v>92</v>
      </c>
      <c r="AA33" s="7" t="s">
        <v>48</v>
      </c>
      <c r="AB33" s="7" t="s">
        <v>48</v>
      </c>
      <c r="AC33" s="7" t="s">
        <v>42</v>
      </c>
      <c r="AD33" s="10">
        <f>I33 + Q33 + U33 + W33</f>
      </c>
      <c r="AE33" s="10">
        <f>IF(AD33&lt;=2,0,IF(AD33&lt;=5,1,2))</f>
      </c>
      <c r="AF33" s="7"/>
    </row>
    <row x14ac:dyDescent="0.25" r="34" customHeight="1" ht="17.25" hidden="1">
      <c r="A34" s="7" t="s">
        <v>49</v>
      </c>
      <c r="B34" s="7" t="s">
        <v>59</v>
      </c>
      <c r="C34" s="7" t="s">
        <v>33</v>
      </c>
      <c r="D34" s="10">
        <v>5</v>
      </c>
      <c r="E34" s="7" t="s">
        <v>51</v>
      </c>
      <c r="F34" s="10">
        <v>186</v>
      </c>
      <c r="G34" s="11">
        <v>102</v>
      </c>
      <c r="H34" s="12">
        <f>G34/((F34/100)*(F34/100))</f>
      </c>
      <c r="I34" s="11">
        <f>IF(H34&lt;25,0,IF(H34&lt;30,1,2))</f>
      </c>
      <c r="J34" s="13">
        <v>3</v>
      </c>
      <c r="K34" s="7" t="s">
        <v>86</v>
      </c>
      <c r="L34" s="7" t="s">
        <v>94</v>
      </c>
      <c r="M34" s="7" t="s">
        <v>54</v>
      </c>
      <c r="N34" s="7" t="s">
        <v>38</v>
      </c>
      <c r="O34" s="7" t="s">
        <v>74</v>
      </c>
      <c r="P34" s="7" t="s">
        <v>40</v>
      </c>
      <c r="Q34" s="10">
        <f>IF(P34="None of the above",0,2)</f>
      </c>
      <c r="R34" s="7" t="s">
        <v>41</v>
      </c>
      <c r="S34" s="7" t="s">
        <v>42</v>
      </c>
      <c r="T34" s="7" t="s">
        <v>99</v>
      </c>
      <c r="U34" s="10">
        <f>IF(T34="Heavy physical",0,IF(T34="Moderate activity",1,2))</f>
      </c>
      <c r="V34" s="5" t="s">
        <v>57</v>
      </c>
      <c r="W34" s="10">
        <f>IF(V34="7–8 hours",0,IF(V34="6–7 hours",1,2))</f>
      </c>
      <c r="X34" s="7" t="s">
        <v>45</v>
      </c>
      <c r="Y34" s="7" t="s">
        <v>64</v>
      </c>
      <c r="Z34" s="7" t="s">
        <v>92</v>
      </c>
      <c r="AA34" s="7" t="s">
        <v>42</v>
      </c>
      <c r="AB34" s="7" t="s">
        <v>42</v>
      </c>
      <c r="AC34" s="7" t="s">
        <v>42</v>
      </c>
      <c r="AD34" s="10">
        <f>I34 + Q34 + U34 + W34</f>
      </c>
      <c r="AE34" s="10">
        <f>IF(AD34&lt;=2,0,IF(AD34&lt;=5,1,2))</f>
      </c>
      <c r="AF34" s="7"/>
    </row>
    <row x14ac:dyDescent="0.25" r="35" customHeight="1" ht="17.25" hidden="1">
      <c r="A35" s="7" t="s">
        <v>31</v>
      </c>
      <c r="B35" s="7" t="s">
        <v>77</v>
      </c>
      <c r="C35" s="15" t="s">
        <v>110</v>
      </c>
      <c r="D35" s="10">
        <v>7</v>
      </c>
      <c r="E35" s="7" t="s">
        <v>34</v>
      </c>
      <c r="F35" s="10">
        <v>185</v>
      </c>
      <c r="G35" s="11">
        <v>96</v>
      </c>
      <c r="H35" s="12">
        <f>G35/((F35/100)*(F35/100))</f>
      </c>
      <c r="I35" s="11">
        <f>IF(H35&lt;25,0,IF(H35&lt;30,1,2))</f>
      </c>
      <c r="J35" s="13">
        <v>2</v>
      </c>
      <c r="K35" s="7" t="s">
        <v>35</v>
      </c>
      <c r="L35" s="7" t="s">
        <v>36</v>
      </c>
      <c r="M35" s="7" t="s">
        <v>37</v>
      </c>
      <c r="N35" s="7" t="s">
        <v>38</v>
      </c>
      <c r="O35" s="7" t="s">
        <v>68</v>
      </c>
      <c r="P35" s="7" t="s">
        <v>55</v>
      </c>
      <c r="Q35" s="10">
        <f>IF(P35="None of the above",0,2)</f>
      </c>
      <c r="R35" s="15" t="s">
        <v>56</v>
      </c>
      <c r="S35" s="7" t="s">
        <v>42</v>
      </c>
      <c r="T35" s="7" t="s">
        <v>96</v>
      </c>
      <c r="U35" s="10">
        <f>IF(T35="Heavy physical",0,IF(T35="Moderate activity",1,2))</f>
      </c>
      <c r="V35" s="5" t="s">
        <v>44</v>
      </c>
      <c r="W35" s="10">
        <f>IF(V35="7–8 hours",0,IF(V35="6–7 hours",1,2))</f>
      </c>
      <c r="X35" s="7" t="s">
        <v>45</v>
      </c>
      <c r="Y35" s="7" t="s">
        <v>64</v>
      </c>
      <c r="Z35" s="7" t="s">
        <v>45</v>
      </c>
      <c r="AA35" s="7" t="s">
        <v>42</v>
      </c>
      <c r="AB35" s="7" t="s">
        <v>42</v>
      </c>
      <c r="AC35" s="7" t="s">
        <v>42</v>
      </c>
      <c r="AD35" s="10">
        <f>I35 + Q35 + U35 + W35</f>
      </c>
      <c r="AE35" s="10">
        <f>IF(AD35&lt;=2,0,IF(AD35&lt;=5,1,2))</f>
      </c>
      <c r="AF35" s="7"/>
    </row>
    <row x14ac:dyDescent="0.25" r="36" customHeight="1" ht="17.25" hidden="1">
      <c r="A36" s="7" t="s">
        <v>76</v>
      </c>
      <c r="B36" s="7" t="s">
        <v>32</v>
      </c>
      <c r="C36" s="7" t="s">
        <v>50</v>
      </c>
      <c r="D36" s="10">
        <v>1</v>
      </c>
      <c r="E36" s="7" t="s">
        <v>34</v>
      </c>
      <c r="F36" s="10">
        <v>189</v>
      </c>
      <c r="G36" s="11">
        <v>119</v>
      </c>
      <c r="H36" s="12">
        <f>G36/((F36/100)*(F36/100))</f>
      </c>
      <c r="I36" s="11">
        <f>IF(H36&lt;25,0,IF(H36&lt;30,1,2))</f>
      </c>
      <c r="J36" s="13">
        <v>3</v>
      </c>
      <c r="K36" s="7" t="s">
        <v>72</v>
      </c>
      <c r="L36" s="7" t="s">
        <v>115</v>
      </c>
      <c r="M36" s="7" t="s">
        <v>37</v>
      </c>
      <c r="N36" s="7" t="s">
        <v>38</v>
      </c>
      <c r="O36" s="7" t="s">
        <v>80</v>
      </c>
      <c r="P36" s="7" t="s">
        <v>81</v>
      </c>
      <c r="Q36" s="10">
        <f>IF(P36="None of the above",0,2)</f>
      </c>
      <c r="R36" s="7" t="s">
        <v>89</v>
      </c>
      <c r="S36" s="7" t="s">
        <v>42</v>
      </c>
      <c r="T36" s="7" t="s">
        <v>43</v>
      </c>
      <c r="U36" s="10">
        <f>IF(T36="Heavy physical",0,IF(T36="Moderate activity",1,2))</f>
      </c>
      <c r="V36" s="5" t="s">
        <v>69</v>
      </c>
      <c r="W36" s="10">
        <f>IF(V36="7–8 hours",0,IF(V36="6–7 hours",1,2))</f>
      </c>
      <c r="X36" s="7" t="s">
        <v>70</v>
      </c>
      <c r="Y36" s="7" t="s">
        <v>58</v>
      </c>
      <c r="Z36" s="7" t="s">
        <v>45</v>
      </c>
      <c r="AA36" s="7" t="s">
        <v>42</v>
      </c>
      <c r="AB36" s="7" t="s">
        <v>42</v>
      </c>
      <c r="AC36" s="7" t="s">
        <v>42</v>
      </c>
      <c r="AD36" s="10">
        <f>I36 + Q36 + U36 + W36</f>
      </c>
      <c r="AE36" s="10">
        <f>IF(AD36&lt;=2,0,IF(AD36&lt;=5,1,2))</f>
      </c>
      <c r="AF36" s="7"/>
    </row>
    <row x14ac:dyDescent="0.25" r="37" customHeight="1" ht="17.25" hidden="1">
      <c r="A37" s="7" t="s">
        <v>76</v>
      </c>
      <c r="B37" s="7" t="s">
        <v>77</v>
      </c>
      <c r="C37" s="7" t="s">
        <v>50</v>
      </c>
      <c r="D37" s="10">
        <v>8</v>
      </c>
      <c r="E37" s="7" t="s">
        <v>51</v>
      </c>
      <c r="F37" s="10">
        <v>153</v>
      </c>
      <c r="G37" s="11">
        <v>93</v>
      </c>
      <c r="H37" s="12">
        <f>G37/((F37/100)*(F37/100))</f>
      </c>
      <c r="I37" s="11">
        <f>IF(H37&lt;25,0,IF(H37&lt;30,1,2))</f>
      </c>
      <c r="J37" s="13">
        <v>3</v>
      </c>
      <c r="K37" s="7" t="s">
        <v>105</v>
      </c>
      <c r="L37" s="7" t="s">
        <v>36</v>
      </c>
      <c r="M37" s="7" t="s">
        <v>37</v>
      </c>
      <c r="N37" s="7" t="s">
        <v>38</v>
      </c>
      <c r="O37" s="7" t="s">
        <v>80</v>
      </c>
      <c r="P37" s="7" t="s">
        <v>81</v>
      </c>
      <c r="Q37" s="10">
        <f>IF(P37="None of the above",0,2)</f>
      </c>
      <c r="R37" s="7" t="s">
        <v>89</v>
      </c>
      <c r="S37" s="15" t="s">
        <v>48</v>
      </c>
      <c r="T37" s="7" t="s">
        <v>96</v>
      </c>
      <c r="U37" s="10">
        <f>IF(T37="Heavy physical",0,IF(T37="Moderate activity",1,2))</f>
      </c>
      <c r="V37" s="5" t="s">
        <v>57</v>
      </c>
      <c r="W37" s="10">
        <f>IF(V37="7–8 hours",0,IF(V37="6–7 hours",1,2))</f>
      </c>
      <c r="X37" s="7" t="s">
        <v>45</v>
      </c>
      <c r="Y37" s="7" t="s">
        <v>64</v>
      </c>
      <c r="Z37" s="7" t="s">
        <v>65</v>
      </c>
      <c r="AA37" s="7" t="s">
        <v>42</v>
      </c>
      <c r="AB37" s="7" t="s">
        <v>42</v>
      </c>
      <c r="AC37" s="7" t="s">
        <v>42</v>
      </c>
      <c r="AD37" s="10">
        <f>I37 + Q37 + U37 + W37</f>
      </c>
      <c r="AE37" s="10">
        <f>IF(AD37&lt;=2,0,IF(AD37&lt;=5,1,2))</f>
      </c>
      <c r="AF37" s="7"/>
    </row>
    <row x14ac:dyDescent="0.25" r="38" customHeight="1" ht="17.25" hidden="1">
      <c r="A38" s="7" t="s">
        <v>49</v>
      </c>
      <c r="B38" s="7" t="s">
        <v>84</v>
      </c>
      <c r="C38" s="7" t="s">
        <v>78</v>
      </c>
      <c r="D38" s="10">
        <v>8</v>
      </c>
      <c r="E38" s="7" t="s">
        <v>51</v>
      </c>
      <c r="F38" s="10">
        <v>198</v>
      </c>
      <c r="G38" s="11">
        <v>74</v>
      </c>
      <c r="H38" s="12">
        <f>G38/((F38/100)*(F38/100))</f>
      </c>
      <c r="I38" s="11">
        <f>IF(H38&lt;25,0,IF(H38&lt;30,1,2))</f>
      </c>
      <c r="J38" s="13">
        <v>2</v>
      </c>
      <c r="K38" s="7" t="s">
        <v>61</v>
      </c>
      <c r="L38" s="7" t="s">
        <v>116</v>
      </c>
      <c r="M38" s="7" t="s">
        <v>37</v>
      </c>
      <c r="N38" s="7" t="s">
        <v>38</v>
      </c>
      <c r="O38" s="7" t="s">
        <v>39</v>
      </c>
      <c r="P38" s="7" t="s">
        <v>40</v>
      </c>
      <c r="Q38" s="10">
        <f>IF(P38="None of the above",0,2)</f>
      </c>
      <c r="R38" s="7" t="s">
        <v>56</v>
      </c>
      <c r="S38" s="15" t="s">
        <v>48</v>
      </c>
      <c r="T38" s="7" t="s">
        <v>43</v>
      </c>
      <c r="U38" s="10">
        <f>IF(T38="Heavy physical",0,IF(T38="Moderate activity",1,2))</f>
      </c>
      <c r="V38" s="5" t="s">
        <v>97</v>
      </c>
      <c r="W38" s="10">
        <f>IF(V38="7–8 hours",0,IF(V38="6–7 hours",1,2))</f>
      </c>
      <c r="X38" s="7" t="s">
        <v>70</v>
      </c>
      <c r="Y38" s="7" t="s">
        <v>64</v>
      </c>
      <c r="Z38" s="7" t="s">
        <v>47</v>
      </c>
      <c r="AA38" s="7" t="s">
        <v>42</v>
      </c>
      <c r="AB38" s="7" t="s">
        <v>42</v>
      </c>
      <c r="AC38" s="7" t="s">
        <v>42</v>
      </c>
      <c r="AD38" s="10">
        <f>I38 + Q38 + U38 + W38</f>
      </c>
      <c r="AE38" s="10">
        <f>IF(AD38&lt;=2,0,IF(AD38&lt;=5,1,2))</f>
      </c>
      <c r="AF38" s="7"/>
    </row>
    <row x14ac:dyDescent="0.25" r="39" customHeight="1" ht="17.25" hidden="1">
      <c r="A39" s="7" t="s">
        <v>31</v>
      </c>
      <c r="B39" s="7" t="s">
        <v>59</v>
      </c>
      <c r="C39" s="7" t="s">
        <v>33</v>
      </c>
      <c r="D39" s="10">
        <v>5</v>
      </c>
      <c r="E39" s="7" t="s">
        <v>51</v>
      </c>
      <c r="F39" s="10">
        <v>191</v>
      </c>
      <c r="G39" s="11">
        <v>68</v>
      </c>
      <c r="H39" s="12">
        <f>G39/((F39/100)*(F39/100))</f>
      </c>
      <c r="I39" s="11">
        <f>IF(H39&lt;25,0,IF(H39&lt;30,1,2))</f>
      </c>
      <c r="J39" s="13">
        <v>2</v>
      </c>
      <c r="K39" s="7" t="s">
        <v>35</v>
      </c>
      <c r="L39" s="7" t="s">
        <v>117</v>
      </c>
      <c r="M39" s="7" t="s">
        <v>118</v>
      </c>
      <c r="N39" s="7" t="s">
        <v>38</v>
      </c>
      <c r="O39" s="7" t="s">
        <v>80</v>
      </c>
      <c r="P39" s="7" t="s">
        <v>81</v>
      </c>
      <c r="Q39" s="10">
        <f>IF(P39="None of the above",0,2)</f>
      </c>
      <c r="R39" s="7" t="s">
        <v>89</v>
      </c>
      <c r="S39" s="7" t="s">
        <v>42</v>
      </c>
      <c r="T39" s="7" t="s">
        <v>99</v>
      </c>
      <c r="U39" s="10">
        <f>IF(T39="Heavy physical",0,IF(T39="Moderate activity",1,2))</f>
      </c>
      <c r="V39" s="5" t="s">
        <v>57</v>
      </c>
      <c r="W39" s="10">
        <f>IF(V39="7–8 hours",0,IF(V39="6–7 hours",1,2))</f>
      </c>
      <c r="X39" s="7" t="s">
        <v>45</v>
      </c>
      <c r="Y39" s="7" t="s">
        <v>46</v>
      </c>
      <c r="Z39" s="7" t="s">
        <v>45</v>
      </c>
      <c r="AA39" s="7" t="s">
        <v>42</v>
      </c>
      <c r="AB39" s="7" t="s">
        <v>42</v>
      </c>
      <c r="AC39" s="7" t="s">
        <v>42</v>
      </c>
      <c r="AD39" s="10">
        <f>I39 + Q39 + U39 + W39</f>
      </c>
      <c r="AE39" s="10">
        <f>IF(AD39&lt;=2,0,IF(AD39&lt;=5,1,2))</f>
      </c>
      <c r="AF39" s="7"/>
    </row>
    <row x14ac:dyDescent="0.25" r="40" customHeight="1" ht="17.25" hidden="1">
      <c r="A40" s="7" t="s">
        <v>49</v>
      </c>
      <c r="B40" s="7" t="s">
        <v>77</v>
      </c>
      <c r="C40" s="7" t="s">
        <v>50</v>
      </c>
      <c r="D40" s="10">
        <v>2</v>
      </c>
      <c r="E40" s="7" t="s">
        <v>34</v>
      </c>
      <c r="F40" s="10">
        <v>141</v>
      </c>
      <c r="G40" s="11">
        <v>85</v>
      </c>
      <c r="H40" s="12">
        <f>G40/((F40/100)*(F40/100))</f>
      </c>
      <c r="I40" s="11">
        <f>IF(H40&lt;25,0,IF(H40&lt;30,1,2))</f>
      </c>
      <c r="J40" s="13">
        <v>2</v>
      </c>
      <c r="K40" s="7" t="s">
        <v>72</v>
      </c>
      <c r="L40" s="7" t="s">
        <v>107</v>
      </c>
      <c r="M40" s="7" t="s">
        <v>37</v>
      </c>
      <c r="N40" s="7" t="s">
        <v>38</v>
      </c>
      <c r="O40" s="7" t="s">
        <v>68</v>
      </c>
      <c r="P40" s="7" t="s">
        <v>55</v>
      </c>
      <c r="Q40" s="10">
        <f>IF(P40="None of the above",0,2)</f>
      </c>
      <c r="R40" s="15" t="s">
        <v>56</v>
      </c>
      <c r="S40" s="15" t="s">
        <v>48</v>
      </c>
      <c r="T40" s="7" t="s">
        <v>96</v>
      </c>
      <c r="U40" s="10">
        <f>IF(T40="Heavy physical",0,IF(T40="Moderate activity",1,2))</f>
      </c>
      <c r="V40" s="5" t="s">
        <v>57</v>
      </c>
      <c r="W40" s="10">
        <f>IF(V40="7–8 hours",0,IF(V40="6–7 hours",1,2))</f>
      </c>
      <c r="X40" s="7" t="s">
        <v>45</v>
      </c>
      <c r="Y40" s="7" t="s">
        <v>64</v>
      </c>
      <c r="Z40" s="7" t="s">
        <v>47</v>
      </c>
      <c r="AA40" s="7" t="s">
        <v>48</v>
      </c>
      <c r="AB40" s="7" t="s">
        <v>42</v>
      </c>
      <c r="AC40" s="7" t="s">
        <v>42</v>
      </c>
      <c r="AD40" s="10">
        <f>I40 + Q40 + U40 + W40</f>
      </c>
      <c r="AE40" s="10">
        <f>IF(AD40&lt;=2,0,IF(AD40&lt;=5,1,2))</f>
      </c>
      <c r="AF40" s="7"/>
    </row>
    <row x14ac:dyDescent="0.25" r="41" customHeight="1" ht="17.25" hidden="1">
      <c r="A41" s="7" t="s">
        <v>31</v>
      </c>
      <c r="B41" s="7" t="s">
        <v>77</v>
      </c>
      <c r="C41" s="7" t="s">
        <v>33</v>
      </c>
      <c r="D41" s="10">
        <v>2</v>
      </c>
      <c r="E41" s="7" t="s">
        <v>34</v>
      </c>
      <c r="F41" s="10">
        <v>141</v>
      </c>
      <c r="G41" s="11">
        <v>49</v>
      </c>
      <c r="H41" s="12">
        <f>G41/((F41/100)*(F41/100))</f>
      </c>
      <c r="I41" s="11">
        <f>IF(H41&lt;25,0,IF(H41&lt;30,1,2))</f>
      </c>
      <c r="J41" s="13">
        <v>3</v>
      </c>
      <c r="K41" s="7" t="s">
        <v>86</v>
      </c>
      <c r="L41" s="7" t="s">
        <v>119</v>
      </c>
      <c r="M41" s="7" t="s">
        <v>54</v>
      </c>
      <c r="N41" s="7" t="s">
        <v>38</v>
      </c>
      <c r="O41" s="7" t="s">
        <v>68</v>
      </c>
      <c r="P41" s="7" t="s">
        <v>81</v>
      </c>
      <c r="Q41" s="10">
        <f>IF(P41="None of the above",0,2)</f>
      </c>
      <c r="R41" s="7" t="s">
        <v>89</v>
      </c>
      <c r="S41" s="15" t="s">
        <v>48</v>
      </c>
      <c r="T41" s="7" t="s">
        <v>43</v>
      </c>
      <c r="U41" s="10">
        <f>IF(T41="Heavy physical",0,IF(T41="Moderate activity",1,2))</f>
      </c>
      <c r="V41" s="5" t="s">
        <v>57</v>
      </c>
      <c r="W41" s="10">
        <f>IF(V41="7–8 hours",0,IF(V41="6–7 hours",1,2))</f>
      </c>
      <c r="X41" s="7" t="s">
        <v>45</v>
      </c>
      <c r="Y41" s="7" t="s">
        <v>64</v>
      </c>
      <c r="Z41" s="7" t="s">
        <v>45</v>
      </c>
      <c r="AA41" s="7" t="s">
        <v>42</v>
      </c>
      <c r="AB41" s="7" t="s">
        <v>42</v>
      </c>
      <c r="AC41" s="7" t="s">
        <v>48</v>
      </c>
      <c r="AD41" s="10">
        <f>I41 + Q41 + U41 + W41</f>
      </c>
      <c r="AE41" s="10">
        <f>IF(AD41&lt;=2,0,IF(AD41&lt;=5,1,2))</f>
      </c>
      <c r="AF41" s="7"/>
    </row>
    <row x14ac:dyDescent="0.25" r="42" customHeight="1" ht="17.25" hidden="1">
      <c r="A42" s="7" t="s">
        <v>76</v>
      </c>
      <c r="B42" s="7" t="s">
        <v>59</v>
      </c>
      <c r="C42" s="7" t="s">
        <v>120</v>
      </c>
      <c r="D42" s="10">
        <v>4</v>
      </c>
      <c r="E42" s="7" t="s">
        <v>51</v>
      </c>
      <c r="F42" s="10">
        <v>141</v>
      </c>
      <c r="G42" s="11">
        <v>66</v>
      </c>
      <c r="H42" s="12">
        <f>G42/((F42/100)*(F42/100))</f>
      </c>
      <c r="I42" s="11">
        <f>IF(H42&lt;25,0,IF(H42&lt;30,1,2))</f>
      </c>
      <c r="J42" s="13">
        <v>1</v>
      </c>
      <c r="K42" s="7" t="s">
        <v>86</v>
      </c>
      <c r="L42" s="7" t="s">
        <v>121</v>
      </c>
      <c r="M42" s="7" t="s">
        <v>41</v>
      </c>
      <c r="N42" s="7" t="s">
        <v>38</v>
      </c>
      <c r="O42" s="7" t="s">
        <v>74</v>
      </c>
      <c r="P42" s="7" t="s">
        <v>40</v>
      </c>
      <c r="Q42" s="10">
        <f>IF(P42="None of the above",0,2)</f>
      </c>
      <c r="R42" s="15" t="s">
        <v>56</v>
      </c>
      <c r="S42" s="7" t="s">
        <v>42</v>
      </c>
      <c r="T42" s="7" t="s">
        <v>96</v>
      </c>
      <c r="U42" s="10">
        <f>IF(T42="Heavy physical",0,IF(T42="Moderate activity",1,2))</f>
      </c>
      <c r="V42" s="5" t="s">
        <v>57</v>
      </c>
      <c r="W42" s="10">
        <f>IF(V42="7–8 hours",0,IF(V42="6–7 hours",1,2))</f>
      </c>
      <c r="X42" s="7" t="s">
        <v>45</v>
      </c>
      <c r="Y42" s="7" t="s">
        <v>64</v>
      </c>
      <c r="Z42" s="7" t="s">
        <v>45</v>
      </c>
      <c r="AA42" s="7" t="s">
        <v>42</v>
      </c>
      <c r="AB42" s="7" t="s">
        <v>42</v>
      </c>
      <c r="AC42" s="7" t="s">
        <v>42</v>
      </c>
      <c r="AD42" s="10">
        <f>I42 + Q42 + U42 + W42</f>
      </c>
      <c r="AE42" s="10">
        <f>IF(AD42&lt;=2,0,IF(AD42&lt;=5,1,2))</f>
      </c>
      <c r="AF42" s="7"/>
    </row>
    <row x14ac:dyDescent="0.25" r="43" customHeight="1" ht="17.25" hidden="1">
      <c r="A43" s="7" t="s">
        <v>49</v>
      </c>
      <c r="B43" s="7" t="s">
        <v>77</v>
      </c>
      <c r="C43" s="15" t="s">
        <v>110</v>
      </c>
      <c r="D43" s="10">
        <v>3</v>
      </c>
      <c r="E43" s="7" t="s">
        <v>51</v>
      </c>
      <c r="F43" s="10">
        <v>154</v>
      </c>
      <c r="G43" s="11">
        <v>52</v>
      </c>
      <c r="H43" s="12">
        <f>G43/((F43/100)*(F43/100))</f>
      </c>
      <c r="I43" s="11">
        <f>IF(H43&lt;25,0,IF(H43&lt;30,1,2))</f>
      </c>
      <c r="J43" s="13">
        <v>3</v>
      </c>
      <c r="K43" s="7" t="s">
        <v>52</v>
      </c>
      <c r="L43" s="7" t="s">
        <v>111</v>
      </c>
      <c r="M43" s="7" t="s">
        <v>41</v>
      </c>
      <c r="N43" s="7" t="s">
        <v>38</v>
      </c>
      <c r="O43" s="7" t="s">
        <v>63</v>
      </c>
      <c r="P43" s="7" t="s">
        <v>55</v>
      </c>
      <c r="Q43" s="10">
        <f>IF(P43="None of the above",0,2)</f>
      </c>
      <c r="R43" s="15" t="s">
        <v>56</v>
      </c>
      <c r="S43" s="15" t="s">
        <v>48</v>
      </c>
      <c r="T43" s="7" t="s">
        <v>43</v>
      </c>
      <c r="U43" s="10">
        <f>IF(T43="Heavy physical",0,IF(T43="Moderate activity",1,2))</f>
      </c>
      <c r="V43" s="5" t="s">
        <v>44</v>
      </c>
      <c r="W43" s="10">
        <f>IF(V43="7–8 hours",0,IF(V43="6–7 hours",1,2))</f>
      </c>
      <c r="X43" s="7" t="s">
        <v>70</v>
      </c>
      <c r="Y43" s="7" t="s">
        <v>46</v>
      </c>
      <c r="Z43" s="7" t="s">
        <v>45</v>
      </c>
      <c r="AA43" s="7" t="s">
        <v>42</v>
      </c>
      <c r="AB43" s="7" t="s">
        <v>42</v>
      </c>
      <c r="AC43" s="7" t="s">
        <v>42</v>
      </c>
      <c r="AD43" s="10">
        <f>I43 + Q43 + U43 + W43</f>
      </c>
      <c r="AE43" s="10">
        <f>IF(AD43&lt;=2,0,IF(AD43&lt;=5,1,2))</f>
      </c>
      <c r="AF43" s="7"/>
    </row>
    <row x14ac:dyDescent="0.25" r="44" customHeight="1" ht="17.25" hidden="1">
      <c r="A44" s="7" t="s">
        <v>76</v>
      </c>
      <c r="B44" s="7" t="s">
        <v>32</v>
      </c>
      <c r="C44" s="7" t="s">
        <v>122</v>
      </c>
      <c r="D44" s="10">
        <v>1</v>
      </c>
      <c r="E44" s="7" t="s">
        <v>51</v>
      </c>
      <c r="F44" s="10">
        <v>196</v>
      </c>
      <c r="G44" s="11">
        <v>54</v>
      </c>
      <c r="H44" s="12">
        <f>G44/((F44/100)*(F44/100))</f>
      </c>
      <c r="I44" s="11">
        <f>IF(H44&lt;25,0,IF(H44&lt;30,1,2))</f>
      </c>
      <c r="J44" s="13">
        <v>2</v>
      </c>
      <c r="K44" s="7" t="s">
        <v>61</v>
      </c>
      <c r="L44" s="7" t="s">
        <v>88</v>
      </c>
      <c r="M44" s="7" t="s">
        <v>41</v>
      </c>
      <c r="N44" s="7" t="s">
        <v>38</v>
      </c>
      <c r="O44" s="7" t="s">
        <v>68</v>
      </c>
      <c r="P44" s="7" t="s">
        <v>81</v>
      </c>
      <c r="Q44" s="10">
        <f>IF(P44="None of the above",0,2)</f>
      </c>
      <c r="R44" s="7" t="s">
        <v>41</v>
      </c>
      <c r="S44" s="15" t="s">
        <v>48</v>
      </c>
      <c r="T44" s="7" t="s">
        <v>43</v>
      </c>
      <c r="U44" s="10">
        <f>IF(T44="Heavy physical",0,IF(T44="Moderate activity",1,2))</f>
      </c>
      <c r="V44" s="5" t="s">
        <v>57</v>
      </c>
      <c r="W44" s="10">
        <f>IF(V44="7–8 hours",0,IF(V44="6–7 hours",1,2))</f>
      </c>
      <c r="X44" s="7" t="s">
        <v>70</v>
      </c>
      <c r="Y44" s="7" t="s">
        <v>58</v>
      </c>
      <c r="Z44" s="7" t="s">
        <v>65</v>
      </c>
      <c r="AA44" s="7" t="s">
        <v>42</v>
      </c>
      <c r="AB44" s="7" t="s">
        <v>42</v>
      </c>
      <c r="AC44" s="7" t="s">
        <v>42</v>
      </c>
      <c r="AD44" s="10">
        <f>I44 + Q44 + U44 + W44</f>
      </c>
      <c r="AE44" s="10">
        <f>IF(AD44&lt;=2,0,IF(AD44&lt;=5,1,2))</f>
      </c>
      <c r="AF44" s="7"/>
    </row>
    <row x14ac:dyDescent="0.25" r="45" customHeight="1" ht="17.25" hidden="1">
      <c r="A45" s="7" t="s">
        <v>49</v>
      </c>
      <c r="B45" s="7" t="s">
        <v>71</v>
      </c>
      <c r="C45" s="7" t="s">
        <v>50</v>
      </c>
      <c r="D45" s="10">
        <v>8</v>
      </c>
      <c r="E45" s="7" t="s">
        <v>51</v>
      </c>
      <c r="F45" s="10">
        <v>168</v>
      </c>
      <c r="G45" s="11">
        <v>86</v>
      </c>
      <c r="H45" s="12">
        <f>G45/((F45/100)*(F45/100))</f>
      </c>
      <c r="I45" s="11">
        <f>IF(H45&lt;25,0,IF(H45&lt;30,1,2))</f>
      </c>
      <c r="J45" s="13">
        <v>3</v>
      </c>
      <c r="K45" s="7" t="s">
        <v>61</v>
      </c>
      <c r="L45" s="7" t="s">
        <v>123</v>
      </c>
      <c r="M45" s="7" t="s">
        <v>37</v>
      </c>
      <c r="N45" s="7" t="s">
        <v>38</v>
      </c>
      <c r="O45" s="7" t="s">
        <v>74</v>
      </c>
      <c r="P45" s="7" t="s">
        <v>40</v>
      </c>
      <c r="Q45" s="10">
        <f>IF(P45="None of the above",0,2)</f>
      </c>
      <c r="R45" s="7" t="s">
        <v>56</v>
      </c>
      <c r="S45" s="15" t="s">
        <v>48</v>
      </c>
      <c r="T45" s="7" t="s">
        <v>99</v>
      </c>
      <c r="U45" s="10">
        <f>IF(T45="Heavy physical",0,IF(T45="Moderate activity",1,2))</f>
      </c>
      <c r="V45" s="5" t="s">
        <v>57</v>
      </c>
      <c r="W45" s="10">
        <f>IF(V45="7–8 hours",0,IF(V45="6–7 hours",1,2))</f>
      </c>
      <c r="X45" s="7" t="s">
        <v>102</v>
      </c>
      <c r="Y45" s="7" t="s">
        <v>64</v>
      </c>
      <c r="Z45" s="7" t="s">
        <v>47</v>
      </c>
      <c r="AA45" s="7" t="s">
        <v>42</v>
      </c>
      <c r="AB45" s="7" t="s">
        <v>42</v>
      </c>
      <c r="AC45" s="7" t="s">
        <v>42</v>
      </c>
      <c r="AD45" s="10">
        <f>I45 + Q45 + U45 + W45</f>
      </c>
      <c r="AE45" s="10">
        <f>IF(AD45&lt;=2,0,IF(AD45&lt;=5,1,2))</f>
      </c>
      <c r="AF45" s="7"/>
    </row>
    <row x14ac:dyDescent="0.25" r="46" customHeight="1" ht="17.25" hidden="1">
      <c r="A46" s="7" t="s">
        <v>31</v>
      </c>
      <c r="B46" s="7" t="s">
        <v>32</v>
      </c>
      <c r="C46" s="7" t="s">
        <v>33</v>
      </c>
      <c r="D46" s="10">
        <v>3</v>
      </c>
      <c r="E46" s="7" t="s">
        <v>34</v>
      </c>
      <c r="F46" s="10">
        <v>189</v>
      </c>
      <c r="G46" s="11">
        <v>103</v>
      </c>
      <c r="H46" s="12">
        <f>G46/((F46/100)*(F46/100))</f>
      </c>
      <c r="I46" s="11">
        <f>IF(H46&lt;25,0,IF(H46&lt;30,1,2))</f>
      </c>
      <c r="J46" s="13">
        <v>1</v>
      </c>
      <c r="K46" s="7" t="s">
        <v>61</v>
      </c>
      <c r="L46" s="7" t="s">
        <v>124</v>
      </c>
      <c r="M46" s="7" t="s">
        <v>37</v>
      </c>
      <c r="N46" s="7" t="s">
        <v>38</v>
      </c>
      <c r="O46" s="7" t="s">
        <v>68</v>
      </c>
      <c r="P46" s="7" t="s">
        <v>55</v>
      </c>
      <c r="Q46" s="10">
        <f>IF(P46="None of the above",0,2)</f>
      </c>
      <c r="R46" s="15" t="s">
        <v>56</v>
      </c>
      <c r="S46" s="7" t="s">
        <v>42</v>
      </c>
      <c r="T46" s="7" t="s">
        <v>96</v>
      </c>
      <c r="U46" s="10">
        <f>IF(T46="Heavy physical",0,IF(T46="Moderate activity",1,2))</f>
      </c>
      <c r="V46" s="5" t="s">
        <v>97</v>
      </c>
      <c r="W46" s="10">
        <f>IF(V46="7–8 hours",0,IF(V46="6–7 hours",1,2))</f>
      </c>
      <c r="X46" s="7" t="s">
        <v>45</v>
      </c>
      <c r="Y46" s="7" t="s">
        <v>64</v>
      </c>
      <c r="Z46" s="7" t="s">
        <v>92</v>
      </c>
      <c r="AA46" s="7" t="s">
        <v>48</v>
      </c>
      <c r="AB46" s="7" t="s">
        <v>48</v>
      </c>
      <c r="AC46" s="7" t="s">
        <v>48</v>
      </c>
      <c r="AD46" s="10">
        <f>I46 + Q46 + U46 + W46</f>
      </c>
      <c r="AE46" s="10">
        <f>IF(AD46&lt;=2,0,IF(AD46&lt;=5,1,2))</f>
      </c>
      <c r="AF46" s="7"/>
    </row>
    <row x14ac:dyDescent="0.25" r="47" customHeight="1" ht="17.25" hidden="1">
      <c r="A47" s="7" t="s">
        <v>49</v>
      </c>
      <c r="B47" s="7" t="s">
        <v>32</v>
      </c>
      <c r="C47" s="7" t="s">
        <v>122</v>
      </c>
      <c r="D47" s="10">
        <v>4</v>
      </c>
      <c r="E47" s="7" t="s">
        <v>34</v>
      </c>
      <c r="F47" s="10">
        <v>169</v>
      </c>
      <c r="G47" s="11">
        <v>105</v>
      </c>
      <c r="H47" s="12">
        <f>G47/((F47/100)*(F47/100))</f>
      </c>
      <c r="I47" s="11">
        <f>IF(H47&lt;25,0,IF(H47&lt;30,1,2))</f>
      </c>
      <c r="J47" s="13">
        <v>3</v>
      </c>
      <c r="K47" s="7" t="s">
        <v>52</v>
      </c>
      <c r="L47" s="7" t="s">
        <v>87</v>
      </c>
      <c r="M47" s="7" t="s">
        <v>37</v>
      </c>
      <c r="N47" s="7" t="s">
        <v>38</v>
      </c>
      <c r="O47" s="7" t="s">
        <v>74</v>
      </c>
      <c r="P47" s="7" t="s">
        <v>81</v>
      </c>
      <c r="Q47" s="10">
        <f>IF(P47="None of the above",0,2)</f>
      </c>
      <c r="R47" s="7" t="s">
        <v>89</v>
      </c>
      <c r="S47" s="15" t="s">
        <v>48</v>
      </c>
      <c r="T47" s="7" t="s">
        <v>96</v>
      </c>
      <c r="U47" s="10">
        <f>IF(T47="Heavy physical",0,IF(T47="Moderate activity",1,2))</f>
      </c>
      <c r="V47" s="5" t="s">
        <v>97</v>
      </c>
      <c r="W47" s="10">
        <f>IF(V47="7–8 hours",0,IF(V47="6–7 hours",1,2))</f>
      </c>
      <c r="X47" s="7" t="s">
        <v>45</v>
      </c>
      <c r="Y47" s="7" t="s">
        <v>64</v>
      </c>
      <c r="Z47" s="7" t="s">
        <v>45</v>
      </c>
      <c r="AA47" s="7" t="s">
        <v>42</v>
      </c>
      <c r="AB47" s="7" t="s">
        <v>48</v>
      </c>
      <c r="AC47" s="7" t="s">
        <v>48</v>
      </c>
      <c r="AD47" s="10">
        <f>I47 + Q47 + U47 + W47</f>
      </c>
      <c r="AE47" s="10">
        <f>IF(AD47&lt;=2,0,IF(AD47&lt;=5,1,2))</f>
      </c>
      <c r="AF47" s="7"/>
    </row>
    <row x14ac:dyDescent="0.25" r="48" customHeight="1" ht="17.25" hidden="1">
      <c r="A48" s="7" t="s">
        <v>49</v>
      </c>
      <c r="B48" s="7" t="s">
        <v>84</v>
      </c>
      <c r="C48" s="7" t="s">
        <v>50</v>
      </c>
      <c r="D48" s="10">
        <v>8</v>
      </c>
      <c r="E48" s="7" t="s">
        <v>51</v>
      </c>
      <c r="F48" s="10">
        <v>194</v>
      </c>
      <c r="G48" s="11">
        <v>86</v>
      </c>
      <c r="H48" s="12">
        <f>G48/((F48/100)*(F48/100))</f>
      </c>
      <c r="I48" s="11">
        <f>IF(H48&lt;25,0,IF(H48&lt;30,1,2))</f>
      </c>
      <c r="J48" s="13">
        <v>3</v>
      </c>
      <c r="K48" s="7" t="s">
        <v>72</v>
      </c>
      <c r="L48" s="7" t="s">
        <v>125</v>
      </c>
      <c r="M48" s="7" t="s">
        <v>54</v>
      </c>
      <c r="N48" s="7" t="s">
        <v>38</v>
      </c>
      <c r="O48" s="7" t="s">
        <v>63</v>
      </c>
      <c r="P48" s="7" t="s">
        <v>40</v>
      </c>
      <c r="Q48" s="10">
        <f>IF(P48="None of the above",0,2)</f>
      </c>
      <c r="R48" s="15" t="s">
        <v>56</v>
      </c>
      <c r="S48" s="7" t="s">
        <v>42</v>
      </c>
      <c r="T48" s="7" t="s">
        <v>96</v>
      </c>
      <c r="U48" s="10">
        <f>IF(T48="Heavy physical",0,IF(T48="Moderate activity",1,2))</f>
      </c>
      <c r="V48" s="5" t="s">
        <v>57</v>
      </c>
      <c r="W48" s="10">
        <f>IF(V48="7–8 hours",0,IF(V48="6–7 hours",1,2))</f>
      </c>
      <c r="X48" s="7" t="s">
        <v>70</v>
      </c>
      <c r="Y48" s="7" t="s">
        <v>58</v>
      </c>
      <c r="Z48" s="7" t="s">
        <v>45</v>
      </c>
      <c r="AA48" s="7" t="s">
        <v>42</v>
      </c>
      <c r="AB48" s="7" t="s">
        <v>42</v>
      </c>
      <c r="AC48" s="7" t="s">
        <v>42</v>
      </c>
      <c r="AD48" s="10">
        <f>I48 + Q48 + U48 + W48</f>
      </c>
      <c r="AE48" s="10">
        <f>IF(AD48&lt;=2,0,IF(AD48&lt;=5,1,2))</f>
      </c>
      <c r="AF48" s="7"/>
    </row>
    <row x14ac:dyDescent="0.25" r="49" customHeight="1" ht="17.25" hidden="1">
      <c r="A49" s="7" t="s">
        <v>31</v>
      </c>
      <c r="B49" s="7" t="s">
        <v>66</v>
      </c>
      <c r="C49" s="7" t="s">
        <v>33</v>
      </c>
      <c r="D49" s="10">
        <v>5</v>
      </c>
      <c r="E49" s="7" t="s">
        <v>34</v>
      </c>
      <c r="F49" s="10">
        <v>198</v>
      </c>
      <c r="G49" s="11">
        <v>109</v>
      </c>
      <c r="H49" s="12">
        <f>G49/((F49/100)*(F49/100))</f>
      </c>
      <c r="I49" s="11">
        <f>IF(H49&lt;25,0,IF(H49&lt;30,1,2))</f>
      </c>
      <c r="J49" s="13">
        <v>2</v>
      </c>
      <c r="K49" s="7" t="s">
        <v>105</v>
      </c>
      <c r="L49" s="7" t="s">
        <v>94</v>
      </c>
      <c r="M49" s="7" t="s">
        <v>37</v>
      </c>
      <c r="N49" s="7" t="s">
        <v>38</v>
      </c>
      <c r="O49" s="7" t="s">
        <v>39</v>
      </c>
      <c r="P49" s="7" t="s">
        <v>81</v>
      </c>
      <c r="Q49" s="10">
        <f>IF(P49="None of the above",0,2)</f>
      </c>
      <c r="R49" s="7" t="s">
        <v>89</v>
      </c>
      <c r="S49" s="7" t="s">
        <v>42</v>
      </c>
      <c r="T49" s="7" t="s">
        <v>43</v>
      </c>
      <c r="U49" s="10">
        <f>IF(T49="Heavy physical",0,IF(T49="Moderate activity",1,2))</f>
      </c>
      <c r="V49" s="5" t="s">
        <v>57</v>
      </c>
      <c r="W49" s="10">
        <f>IF(V49="7–8 hours",0,IF(V49="6–7 hours",1,2))</f>
      </c>
      <c r="X49" s="7" t="s">
        <v>70</v>
      </c>
      <c r="Y49" s="7" t="s">
        <v>64</v>
      </c>
      <c r="Z49" s="7" t="s">
        <v>45</v>
      </c>
      <c r="AA49" s="7" t="s">
        <v>48</v>
      </c>
      <c r="AB49" s="7" t="s">
        <v>48</v>
      </c>
      <c r="AC49" s="7" t="s">
        <v>42</v>
      </c>
      <c r="AD49" s="10">
        <f>I49 + Q49 + U49 + W49</f>
      </c>
      <c r="AE49" s="10">
        <f>IF(AD49&lt;=2,0,IF(AD49&lt;=5,1,2))</f>
      </c>
      <c r="AF49" s="7"/>
    </row>
    <row x14ac:dyDescent="0.25" r="50" customHeight="1" ht="17.25" hidden="1">
      <c r="A50" s="7" t="s">
        <v>76</v>
      </c>
      <c r="B50" s="7" t="s">
        <v>77</v>
      </c>
      <c r="C50" s="16" t="s">
        <v>126</v>
      </c>
      <c r="D50" s="10">
        <v>7</v>
      </c>
      <c r="E50" s="7" t="s">
        <v>51</v>
      </c>
      <c r="F50" s="10">
        <v>152</v>
      </c>
      <c r="G50" s="11">
        <v>113</v>
      </c>
      <c r="H50" s="12">
        <f>G50/((F50/100)*(F50/100))</f>
      </c>
      <c r="I50" s="11">
        <f>IF(H50&lt;25,0,IF(H50&lt;30,1,2))</f>
      </c>
      <c r="J50" s="13">
        <v>2</v>
      </c>
      <c r="K50" s="7" t="s">
        <v>52</v>
      </c>
      <c r="L50" s="7" t="s">
        <v>127</v>
      </c>
      <c r="M50" s="7" t="s">
        <v>41</v>
      </c>
      <c r="N50" s="7" t="s">
        <v>38</v>
      </c>
      <c r="O50" s="7" t="s">
        <v>39</v>
      </c>
      <c r="P50" s="7" t="s">
        <v>55</v>
      </c>
      <c r="Q50" s="10">
        <f>IF(P50="None of the above",0,2)</f>
      </c>
      <c r="R50" s="7" t="s">
        <v>56</v>
      </c>
      <c r="S50" s="15" t="s">
        <v>48</v>
      </c>
      <c r="T50" s="7" t="s">
        <v>96</v>
      </c>
      <c r="U50" s="10">
        <f>IF(T50="Heavy physical",0,IF(T50="Moderate activity",1,2))</f>
      </c>
      <c r="V50" s="5" t="s">
        <v>57</v>
      </c>
      <c r="W50" s="10">
        <f>IF(V50="7–8 hours",0,IF(V50="6–7 hours",1,2))</f>
      </c>
      <c r="X50" s="7" t="s">
        <v>45</v>
      </c>
      <c r="Y50" s="7" t="s">
        <v>58</v>
      </c>
      <c r="Z50" s="7" t="s">
        <v>45</v>
      </c>
      <c r="AA50" s="7" t="s">
        <v>42</v>
      </c>
      <c r="AB50" s="7" t="s">
        <v>42</v>
      </c>
      <c r="AC50" s="7" t="s">
        <v>42</v>
      </c>
      <c r="AD50" s="10">
        <f>I50 + Q50 + U50 + W50</f>
      </c>
      <c r="AE50" s="10">
        <f>IF(AD50&lt;=2,0,IF(AD50&lt;=5,1,2))</f>
      </c>
      <c r="AF50" s="7"/>
    </row>
    <row x14ac:dyDescent="0.25" r="51" customHeight="1" ht="17.25" hidden="1">
      <c r="A51" s="7" t="s">
        <v>76</v>
      </c>
      <c r="B51" s="7" t="s">
        <v>59</v>
      </c>
      <c r="C51" s="7" t="s">
        <v>122</v>
      </c>
      <c r="D51" s="10">
        <v>1</v>
      </c>
      <c r="E51" s="7" t="s">
        <v>51</v>
      </c>
      <c r="F51" s="10">
        <v>150</v>
      </c>
      <c r="G51" s="11">
        <v>70</v>
      </c>
      <c r="H51" s="12">
        <f>G51/((F51/100)*(F51/100))</f>
      </c>
      <c r="I51" s="11">
        <f>IF(H51&lt;25,0,IF(H51&lt;30,1,2))</f>
      </c>
      <c r="J51" s="13">
        <v>3</v>
      </c>
      <c r="K51" s="7" t="s">
        <v>86</v>
      </c>
      <c r="L51" s="7" t="s">
        <v>94</v>
      </c>
      <c r="M51" s="7" t="s">
        <v>37</v>
      </c>
      <c r="N51" s="7" t="s">
        <v>38</v>
      </c>
      <c r="O51" s="7" t="s">
        <v>68</v>
      </c>
      <c r="P51" s="7" t="s">
        <v>40</v>
      </c>
      <c r="Q51" s="10">
        <f>IF(P51="None of the above",0,2)</f>
      </c>
      <c r="R51" s="15" t="s">
        <v>56</v>
      </c>
      <c r="S51" s="7" t="s">
        <v>42</v>
      </c>
      <c r="T51" s="7" t="s">
        <v>43</v>
      </c>
      <c r="U51" s="10">
        <f>IF(T51="Heavy physical",0,IF(T51="Moderate activity",1,2))</f>
      </c>
      <c r="V51" s="5" t="s">
        <v>97</v>
      </c>
      <c r="W51" s="10">
        <f>IF(V51="7–8 hours",0,IF(V51="6–7 hours",1,2))</f>
      </c>
      <c r="X51" s="7" t="s">
        <v>45</v>
      </c>
      <c r="Y51" s="7" t="s">
        <v>46</v>
      </c>
      <c r="Z51" s="7" t="s">
        <v>47</v>
      </c>
      <c r="AA51" s="7" t="s">
        <v>42</v>
      </c>
      <c r="AB51" s="7" t="s">
        <v>42</v>
      </c>
      <c r="AC51" s="7" t="s">
        <v>42</v>
      </c>
      <c r="AD51" s="10">
        <f>I51 + Q51 + U51 + W51</f>
      </c>
      <c r="AE51" s="10">
        <f>IF(AD51&lt;=2,0,IF(AD51&lt;=5,1,2))</f>
      </c>
      <c r="AF51" s="7"/>
    </row>
    <row x14ac:dyDescent="0.25" r="52" customHeight="1" ht="17.25" hidden="1">
      <c r="A52" s="7" t="s">
        <v>76</v>
      </c>
      <c r="B52" s="7" t="s">
        <v>32</v>
      </c>
      <c r="C52" s="7" t="s">
        <v>50</v>
      </c>
      <c r="D52" s="10">
        <v>6</v>
      </c>
      <c r="E52" s="7" t="s">
        <v>51</v>
      </c>
      <c r="F52" s="10">
        <v>190</v>
      </c>
      <c r="G52" s="11">
        <v>107</v>
      </c>
      <c r="H52" s="12">
        <f>G52/((F52/100)*(F52/100))</f>
      </c>
      <c r="I52" s="11">
        <f>IF(H52&lt;25,0,IF(H52&lt;30,1,2))</f>
      </c>
      <c r="J52" s="13">
        <v>2</v>
      </c>
      <c r="K52" s="7" t="s">
        <v>35</v>
      </c>
      <c r="L52" s="7" t="s">
        <v>128</v>
      </c>
      <c r="M52" s="7" t="s">
        <v>54</v>
      </c>
      <c r="N52" s="7" t="s">
        <v>38</v>
      </c>
      <c r="O52" s="7" t="s">
        <v>68</v>
      </c>
      <c r="P52" s="7" t="s">
        <v>81</v>
      </c>
      <c r="Q52" s="10">
        <f>IF(P52="None of the above",0,2)</f>
      </c>
      <c r="R52" s="7" t="s">
        <v>89</v>
      </c>
      <c r="S52" s="15" t="s">
        <v>48</v>
      </c>
      <c r="T52" s="7" t="s">
        <v>96</v>
      </c>
      <c r="U52" s="10">
        <f>IF(T52="Heavy physical",0,IF(T52="Moderate activity",1,2))</f>
      </c>
      <c r="V52" s="5" t="s">
        <v>57</v>
      </c>
      <c r="W52" s="10">
        <f>IF(V52="7–8 hours",0,IF(V52="6–7 hours",1,2))</f>
      </c>
      <c r="X52" s="7" t="s">
        <v>45</v>
      </c>
      <c r="Y52" s="7" t="s">
        <v>64</v>
      </c>
      <c r="Z52" s="7" t="s">
        <v>45</v>
      </c>
      <c r="AA52" s="7" t="s">
        <v>42</v>
      </c>
      <c r="AB52" s="7" t="s">
        <v>42</v>
      </c>
      <c r="AC52" s="7" t="s">
        <v>42</v>
      </c>
      <c r="AD52" s="10">
        <f>I52 + Q52 + U52 + W52</f>
      </c>
      <c r="AE52" s="10">
        <f>IF(AD52&lt;=2,0,IF(AD52&lt;=5,1,2))</f>
      </c>
      <c r="AF52" s="7"/>
    </row>
    <row x14ac:dyDescent="0.25" r="53" customHeight="1" ht="17.25" hidden="1">
      <c r="A53" s="7" t="s">
        <v>76</v>
      </c>
      <c r="B53" s="7" t="s">
        <v>93</v>
      </c>
      <c r="C53" s="7" t="s">
        <v>50</v>
      </c>
      <c r="D53" s="10">
        <v>3</v>
      </c>
      <c r="E53" s="7" t="s">
        <v>34</v>
      </c>
      <c r="F53" s="10">
        <v>161</v>
      </c>
      <c r="G53" s="11">
        <v>88</v>
      </c>
      <c r="H53" s="12">
        <f>G53/((F53/100)*(F53/100))</f>
      </c>
      <c r="I53" s="11">
        <f>IF(H53&lt;25,0,IF(H53&lt;30,1,2))</f>
      </c>
      <c r="J53" s="13">
        <v>3</v>
      </c>
      <c r="K53" s="7" t="s">
        <v>52</v>
      </c>
      <c r="L53" s="7" t="s">
        <v>129</v>
      </c>
      <c r="M53" s="7" t="s">
        <v>37</v>
      </c>
      <c r="N53" s="7" t="s">
        <v>38</v>
      </c>
      <c r="O53" s="7" t="s">
        <v>74</v>
      </c>
      <c r="P53" s="7" t="s">
        <v>55</v>
      </c>
      <c r="Q53" s="10">
        <f>IF(P53="None of the above",0,2)</f>
      </c>
      <c r="R53" s="15" t="s">
        <v>56</v>
      </c>
      <c r="S53" s="7" t="s">
        <v>42</v>
      </c>
      <c r="T53" s="7" t="s">
        <v>96</v>
      </c>
      <c r="U53" s="10">
        <f>IF(T53="Heavy physical",0,IF(T53="Moderate activity",1,2))</f>
      </c>
      <c r="V53" s="5" t="s">
        <v>97</v>
      </c>
      <c r="W53" s="10">
        <f>IF(V53="7–8 hours",0,IF(V53="6–7 hours",1,2))</f>
      </c>
      <c r="X53" s="7" t="s">
        <v>102</v>
      </c>
      <c r="Y53" s="7" t="s">
        <v>64</v>
      </c>
      <c r="Z53" s="7" t="s">
        <v>47</v>
      </c>
      <c r="AA53" s="7" t="s">
        <v>48</v>
      </c>
      <c r="AB53" s="7" t="s">
        <v>42</v>
      </c>
      <c r="AC53" s="7" t="s">
        <v>42</v>
      </c>
      <c r="AD53" s="10">
        <f>I53 + Q53 + U53 + W53</f>
      </c>
      <c r="AE53" s="10">
        <f>IF(AD53&lt;=2,0,IF(AD53&lt;=5,1,2))</f>
      </c>
      <c r="AF53" s="7"/>
    </row>
    <row x14ac:dyDescent="0.25" r="54" customHeight="1" ht="17.25" hidden="1">
      <c r="A54" s="7" t="s">
        <v>130</v>
      </c>
      <c r="B54" s="7" t="s">
        <v>93</v>
      </c>
      <c r="C54" s="7" t="s">
        <v>33</v>
      </c>
      <c r="D54" s="10">
        <v>8</v>
      </c>
      <c r="E54" s="7" t="s">
        <v>51</v>
      </c>
      <c r="F54" s="10">
        <v>200</v>
      </c>
      <c r="G54" s="11">
        <v>119</v>
      </c>
      <c r="H54" s="12">
        <f>G54/((F54/100)*(F54/100))</f>
      </c>
      <c r="I54" s="11">
        <f>IF(H54&lt;25,0,IF(H54&lt;30,1,2))</f>
      </c>
      <c r="J54" s="13">
        <v>2</v>
      </c>
      <c r="K54" s="7" t="s">
        <v>72</v>
      </c>
      <c r="L54" s="7" t="s">
        <v>131</v>
      </c>
      <c r="M54" s="7" t="s">
        <v>41</v>
      </c>
      <c r="N54" s="7" t="s">
        <v>38</v>
      </c>
      <c r="O54" s="7" t="s">
        <v>74</v>
      </c>
      <c r="P54" s="7" t="s">
        <v>132</v>
      </c>
      <c r="Q54" s="10">
        <f>IF(P54="None of the above",0,2)</f>
      </c>
      <c r="R54" s="7" t="s">
        <v>89</v>
      </c>
      <c r="S54" s="15" t="s">
        <v>48</v>
      </c>
      <c r="T54" s="7" t="s">
        <v>43</v>
      </c>
      <c r="U54" s="10">
        <f>IF(T54="Heavy physical",0,IF(T54="Moderate activity",1,2))</f>
      </c>
      <c r="V54" s="5" t="s">
        <v>44</v>
      </c>
      <c r="W54" s="10">
        <f>IF(V54="7–8 hours",0,IF(V54="6–7 hours",1,2))</f>
      </c>
      <c r="X54" s="7" t="s">
        <v>70</v>
      </c>
      <c r="Y54" s="7" t="s">
        <v>58</v>
      </c>
      <c r="Z54" s="7" t="s">
        <v>47</v>
      </c>
      <c r="AA54" s="7" t="s">
        <v>42</v>
      </c>
      <c r="AB54" s="7" t="s">
        <v>42</v>
      </c>
      <c r="AC54" s="7" t="s">
        <v>42</v>
      </c>
      <c r="AD54" s="10">
        <f>I54 + Q54 + U54 + W54</f>
      </c>
      <c r="AE54" s="10">
        <f>IF(AD54&lt;=2,0,IF(AD54&lt;=5,1,2))</f>
      </c>
      <c r="AF54" s="7"/>
    </row>
    <row x14ac:dyDescent="0.25" r="55" customHeight="1" ht="17.25" hidden="1">
      <c r="A55" s="7" t="s">
        <v>76</v>
      </c>
      <c r="B55" s="7" t="s">
        <v>32</v>
      </c>
      <c r="C55" s="7" t="s">
        <v>50</v>
      </c>
      <c r="D55" s="10">
        <v>1</v>
      </c>
      <c r="E55" s="7" t="s">
        <v>51</v>
      </c>
      <c r="F55" s="10">
        <v>170</v>
      </c>
      <c r="G55" s="11">
        <v>69</v>
      </c>
      <c r="H55" s="12">
        <f>G55/((F55/100)*(F55/100))</f>
      </c>
      <c r="I55" s="11">
        <f>IF(H55&lt;25,0,IF(H55&lt;30,1,2))</f>
      </c>
      <c r="J55" s="13">
        <v>3</v>
      </c>
      <c r="K55" s="7" t="s">
        <v>61</v>
      </c>
      <c r="L55" s="7" t="s">
        <v>133</v>
      </c>
      <c r="M55" s="7" t="s">
        <v>37</v>
      </c>
      <c r="N55" s="7" t="s">
        <v>38</v>
      </c>
      <c r="O55" s="7" t="s">
        <v>68</v>
      </c>
      <c r="P55" s="7" t="s">
        <v>40</v>
      </c>
      <c r="Q55" s="10">
        <f>IF(P55="None of the above",0,2)</f>
      </c>
      <c r="R55" s="15" t="s">
        <v>56</v>
      </c>
      <c r="S55" s="7" t="s">
        <v>42</v>
      </c>
      <c r="T55" s="7" t="s">
        <v>96</v>
      </c>
      <c r="U55" s="10">
        <f>IF(T55="Heavy physical",0,IF(T55="Moderate activity",1,2))</f>
      </c>
      <c r="V55" s="5" t="s">
        <v>44</v>
      </c>
      <c r="W55" s="10">
        <f>IF(V55="7–8 hours",0,IF(V55="6–7 hours",1,2))</f>
      </c>
      <c r="X55" s="7" t="s">
        <v>45</v>
      </c>
      <c r="Y55" s="7" t="s">
        <v>46</v>
      </c>
      <c r="Z55" s="7" t="s">
        <v>45</v>
      </c>
      <c r="AA55" s="7" t="s">
        <v>42</v>
      </c>
      <c r="AB55" s="7" t="s">
        <v>42</v>
      </c>
      <c r="AC55" s="7" t="s">
        <v>42</v>
      </c>
      <c r="AD55" s="10">
        <f>I55 + Q55 + U55 + W55</f>
      </c>
      <c r="AE55" s="10">
        <f>IF(AD55&lt;=2,0,IF(AD55&lt;=5,1,2))</f>
      </c>
      <c r="AF55" s="7"/>
    </row>
    <row x14ac:dyDescent="0.25" r="56" customHeight="1" ht="17.25" hidden="1">
      <c r="A56" s="7" t="s">
        <v>49</v>
      </c>
      <c r="B56" s="7" t="s">
        <v>77</v>
      </c>
      <c r="C56" s="7" t="s">
        <v>33</v>
      </c>
      <c r="D56" s="10">
        <v>6</v>
      </c>
      <c r="E56" s="7" t="s">
        <v>34</v>
      </c>
      <c r="F56" s="10">
        <v>191</v>
      </c>
      <c r="G56" s="11">
        <v>77</v>
      </c>
      <c r="H56" s="12">
        <f>G56/((F56/100)*(F56/100))</f>
      </c>
      <c r="I56" s="11">
        <f>IF(H56&lt;25,0,IF(H56&lt;30,1,2))</f>
      </c>
      <c r="J56" s="13">
        <v>2</v>
      </c>
      <c r="K56" s="7" t="s">
        <v>86</v>
      </c>
      <c r="L56" s="7" t="s">
        <v>134</v>
      </c>
      <c r="M56" s="7" t="s">
        <v>54</v>
      </c>
      <c r="N56" s="7" t="s">
        <v>38</v>
      </c>
      <c r="O56" s="7" t="s">
        <v>63</v>
      </c>
      <c r="P56" s="7" t="s">
        <v>81</v>
      </c>
      <c r="Q56" s="10">
        <f>IF(P56="None of the above",0,2)</f>
      </c>
      <c r="R56" s="7" t="s">
        <v>89</v>
      </c>
      <c r="S56" s="15" t="s">
        <v>48</v>
      </c>
      <c r="T56" s="7" t="s">
        <v>82</v>
      </c>
      <c r="U56" s="10">
        <f>IF(T56="Heavy physical",0,IF(T56="Moderate activity",1,2))</f>
      </c>
      <c r="V56" s="5" t="s">
        <v>97</v>
      </c>
      <c r="W56" s="10">
        <f>IF(V56="7–8 hours",0,IF(V56="6–7 hours",1,2))</f>
      </c>
      <c r="X56" s="7" t="s">
        <v>70</v>
      </c>
      <c r="Y56" s="7" t="s">
        <v>64</v>
      </c>
      <c r="Z56" s="7" t="s">
        <v>65</v>
      </c>
      <c r="AA56" s="7" t="s">
        <v>48</v>
      </c>
      <c r="AB56" s="7" t="s">
        <v>48</v>
      </c>
      <c r="AC56" s="7" t="s">
        <v>48</v>
      </c>
      <c r="AD56" s="10">
        <f>I56 + Q56 + U56 + W56</f>
      </c>
      <c r="AE56" s="10">
        <f>IF(AD56&lt;=2,0,IF(AD56&lt;=5,1,2))</f>
      </c>
      <c r="AF56" s="7"/>
    </row>
    <row x14ac:dyDescent="0.25" r="57" customHeight="1" ht="17.25" hidden="1">
      <c r="A57" s="7" t="s">
        <v>76</v>
      </c>
      <c r="B57" s="7" t="s">
        <v>77</v>
      </c>
      <c r="C57" s="7" t="s">
        <v>33</v>
      </c>
      <c r="D57" s="10">
        <v>5</v>
      </c>
      <c r="E57" s="7" t="s">
        <v>34</v>
      </c>
      <c r="F57" s="10">
        <v>199</v>
      </c>
      <c r="G57" s="11">
        <v>88</v>
      </c>
      <c r="H57" s="12">
        <f>G57/((F57/100)*(F57/100))</f>
      </c>
      <c r="I57" s="11">
        <f>IF(H57&lt;25,0,IF(H57&lt;30,1,2))</f>
      </c>
      <c r="J57" s="13">
        <v>3</v>
      </c>
      <c r="K57" s="7" t="s">
        <v>61</v>
      </c>
      <c r="L57" s="7" t="s">
        <v>94</v>
      </c>
      <c r="M57" s="7" t="s">
        <v>37</v>
      </c>
      <c r="N57" s="7" t="s">
        <v>38</v>
      </c>
      <c r="O57" s="7" t="s">
        <v>63</v>
      </c>
      <c r="P57" s="7" t="s">
        <v>81</v>
      </c>
      <c r="Q57" s="10">
        <f>IF(P57="None of the above",0,2)</f>
      </c>
      <c r="R57" s="7" t="s">
        <v>89</v>
      </c>
      <c r="S57" s="15" t="s">
        <v>48</v>
      </c>
      <c r="T57" s="7" t="s">
        <v>96</v>
      </c>
      <c r="U57" s="10">
        <f>IF(T57="Heavy physical",0,IF(T57="Moderate activity",1,2))</f>
      </c>
      <c r="V57" s="5" t="s">
        <v>57</v>
      </c>
      <c r="W57" s="10">
        <f>IF(V57="7–8 hours",0,IF(V57="6–7 hours",1,2))</f>
      </c>
      <c r="X57" s="7" t="s">
        <v>45</v>
      </c>
      <c r="Y57" s="7" t="s">
        <v>64</v>
      </c>
      <c r="Z57" s="7" t="s">
        <v>45</v>
      </c>
      <c r="AA57" s="7" t="s">
        <v>42</v>
      </c>
      <c r="AB57" s="7" t="s">
        <v>42</v>
      </c>
      <c r="AC57" s="7" t="s">
        <v>42</v>
      </c>
      <c r="AD57" s="10">
        <f>I57 + Q57 + U57 + W57</f>
      </c>
      <c r="AE57" s="10">
        <f>IF(AD57&lt;=2,0,IF(AD57&lt;=5,1,2))</f>
      </c>
      <c r="AF57" s="7"/>
    </row>
    <row x14ac:dyDescent="0.25" r="58" customHeight="1" ht="17.25" hidden="1">
      <c r="A58" s="7" t="s">
        <v>49</v>
      </c>
      <c r="B58" s="7" t="s">
        <v>32</v>
      </c>
      <c r="C58" s="16" t="s">
        <v>126</v>
      </c>
      <c r="D58" s="10">
        <v>4</v>
      </c>
      <c r="E58" s="7" t="s">
        <v>34</v>
      </c>
      <c r="F58" s="10">
        <v>163</v>
      </c>
      <c r="G58" s="11">
        <v>92</v>
      </c>
      <c r="H58" s="12">
        <f>G58/((F58/100)*(F58/100))</f>
      </c>
      <c r="I58" s="11">
        <f>IF(H58&lt;25,0,IF(H58&lt;30,1,2))</f>
      </c>
      <c r="J58" s="13">
        <v>2</v>
      </c>
      <c r="K58" s="7" t="s">
        <v>52</v>
      </c>
      <c r="L58" s="7" t="s">
        <v>135</v>
      </c>
      <c r="M58" s="7" t="s">
        <v>54</v>
      </c>
      <c r="N58" s="7" t="s">
        <v>38</v>
      </c>
      <c r="O58" s="7" t="s">
        <v>74</v>
      </c>
      <c r="P58" s="7" t="s">
        <v>40</v>
      </c>
      <c r="Q58" s="10">
        <f>IF(P58="None of the above",0,2)</f>
      </c>
      <c r="R58" s="7" t="s">
        <v>56</v>
      </c>
      <c r="S58" s="7" t="s">
        <v>42</v>
      </c>
      <c r="T58" s="7" t="s">
        <v>96</v>
      </c>
      <c r="U58" s="10">
        <f>IF(T58="Heavy physical",0,IF(T58="Moderate activity",1,2))</f>
      </c>
      <c r="V58" s="5" t="s">
        <v>69</v>
      </c>
      <c r="W58" s="10">
        <f>IF(V58="7–8 hours",0,IF(V58="6–7 hours",1,2))</f>
      </c>
      <c r="X58" s="7" t="s">
        <v>45</v>
      </c>
      <c r="Y58" s="7" t="s">
        <v>58</v>
      </c>
      <c r="Z58" s="7" t="s">
        <v>65</v>
      </c>
      <c r="AA58" s="7" t="s">
        <v>42</v>
      </c>
      <c r="AB58" s="7" t="s">
        <v>42</v>
      </c>
      <c r="AC58" s="7" t="s">
        <v>42</v>
      </c>
      <c r="AD58" s="10">
        <f>I58 + Q58 + U58 + W58</f>
      </c>
      <c r="AE58" s="10">
        <f>IF(AD58&lt;=2,0,IF(AD58&lt;=5,1,2))</f>
      </c>
      <c r="AF58" s="7"/>
    </row>
    <row x14ac:dyDescent="0.25" r="59" customHeight="1" ht="17.25" hidden="1">
      <c r="A59" s="7" t="s">
        <v>31</v>
      </c>
      <c r="B59" s="7" t="s">
        <v>84</v>
      </c>
      <c r="C59" s="7" t="s">
        <v>33</v>
      </c>
      <c r="D59" s="10">
        <v>7</v>
      </c>
      <c r="E59" s="7" t="s">
        <v>34</v>
      </c>
      <c r="F59" s="10">
        <v>159</v>
      </c>
      <c r="G59" s="11">
        <v>47</v>
      </c>
      <c r="H59" s="12">
        <f>G59/((F59/100)*(F59/100))</f>
      </c>
      <c r="I59" s="11">
        <f>IF(H59&lt;25,0,IF(H59&lt;30,1,2))</f>
      </c>
      <c r="J59" s="13">
        <v>2</v>
      </c>
      <c r="K59" s="7" t="s">
        <v>61</v>
      </c>
      <c r="L59" s="7" t="s">
        <v>87</v>
      </c>
      <c r="M59" s="7" t="s">
        <v>37</v>
      </c>
      <c r="N59" s="7" t="s">
        <v>38</v>
      </c>
      <c r="O59" s="7" t="s">
        <v>63</v>
      </c>
      <c r="P59" s="7" t="s">
        <v>55</v>
      </c>
      <c r="Q59" s="10">
        <f>IF(P59="None of the above",0,2)</f>
      </c>
      <c r="R59" s="15" t="s">
        <v>56</v>
      </c>
      <c r="S59" s="15" t="s">
        <v>48</v>
      </c>
      <c r="T59" s="7" t="s">
        <v>96</v>
      </c>
      <c r="U59" s="10">
        <f>IF(T59="Heavy physical",0,IF(T59="Moderate activity",1,2))</f>
      </c>
      <c r="V59" s="5" t="s">
        <v>57</v>
      </c>
      <c r="W59" s="10">
        <f>IF(V59="7–8 hours",0,IF(V59="6–7 hours",1,2))</f>
      </c>
      <c r="X59" s="7" t="s">
        <v>102</v>
      </c>
      <c r="Y59" s="7" t="s">
        <v>46</v>
      </c>
      <c r="Z59" s="7" t="s">
        <v>65</v>
      </c>
      <c r="AA59" s="7" t="s">
        <v>42</v>
      </c>
      <c r="AB59" s="7" t="s">
        <v>48</v>
      </c>
      <c r="AC59" s="7" t="s">
        <v>42</v>
      </c>
      <c r="AD59" s="10">
        <f>I59 + Q59 + U59 + W59</f>
      </c>
      <c r="AE59" s="10">
        <f>IF(AD59&lt;=2,0,IF(AD59&lt;=5,1,2))</f>
      </c>
      <c r="AF59" s="7"/>
    </row>
    <row x14ac:dyDescent="0.25" r="60" customHeight="1" ht="17.25" hidden="1">
      <c r="A60" s="7" t="s">
        <v>76</v>
      </c>
      <c r="B60" s="7" t="s">
        <v>77</v>
      </c>
      <c r="C60" s="7" t="s">
        <v>122</v>
      </c>
      <c r="D60" s="10">
        <v>6</v>
      </c>
      <c r="E60" s="7" t="s">
        <v>51</v>
      </c>
      <c r="F60" s="10">
        <v>191</v>
      </c>
      <c r="G60" s="11">
        <v>50</v>
      </c>
      <c r="H60" s="12">
        <f>G60/((F60/100)*(F60/100))</f>
      </c>
      <c r="I60" s="11">
        <f>IF(H60&lt;25,0,IF(H60&lt;30,1,2))</f>
      </c>
      <c r="J60" s="13">
        <v>3</v>
      </c>
      <c r="K60" s="7" t="s">
        <v>105</v>
      </c>
      <c r="L60" s="7" t="s">
        <v>136</v>
      </c>
      <c r="M60" s="7" t="s">
        <v>37</v>
      </c>
      <c r="N60" s="7" t="s">
        <v>38</v>
      </c>
      <c r="O60" s="7" t="s">
        <v>74</v>
      </c>
      <c r="P60" s="7" t="s">
        <v>81</v>
      </c>
      <c r="Q60" s="10">
        <f>IF(P60="None of the above",0,2)</f>
      </c>
      <c r="R60" s="7" t="s">
        <v>89</v>
      </c>
      <c r="S60" s="15" t="s">
        <v>48</v>
      </c>
      <c r="T60" s="7" t="s">
        <v>96</v>
      </c>
      <c r="U60" s="10">
        <f>IF(T60="Heavy physical",0,IF(T60="Moderate activity",1,2))</f>
      </c>
      <c r="V60" s="5" t="s">
        <v>69</v>
      </c>
      <c r="W60" s="10">
        <f>IF(V60="7–8 hours",0,IF(V60="6–7 hours",1,2))</f>
      </c>
      <c r="X60" s="7" t="s">
        <v>45</v>
      </c>
      <c r="Y60" s="7" t="s">
        <v>58</v>
      </c>
      <c r="Z60" s="7" t="s">
        <v>45</v>
      </c>
      <c r="AA60" s="7" t="s">
        <v>42</v>
      </c>
      <c r="AB60" s="7" t="s">
        <v>42</v>
      </c>
      <c r="AC60" s="7" t="s">
        <v>42</v>
      </c>
      <c r="AD60" s="10">
        <f>I60 + Q60 + U60 + W60</f>
      </c>
      <c r="AE60" s="10">
        <f>IF(AD60&lt;=2,0,IF(AD60&lt;=5,1,2))</f>
      </c>
      <c r="AF60" s="7"/>
    </row>
    <row x14ac:dyDescent="0.25" r="61" customHeight="1" ht="17.25" hidden="1">
      <c r="A61" s="7" t="s">
        <v>76</v>
      </c>
      <c r="B61" s="7" t="s">
        <v>93</v>
      </c>
      <c r="C61" s="7" t="s">
        <v>33</v>
      </c>
      <c r="D61" s="10">
        <v>1</v>
      </c>
      <c r="E61" s="7" t="s">
        <v>51</v>
      </c>
      <c r="F61" s="10">
        <v>190</v>
      </c>
      <c r="G61" s="11">
        <v>115</v>
      </c>
      <c r="H61" s="12">
        <f>G61/((F61/100)*(F61/100))</f>
      </c>
      <c r="I61" s="11">
        <f>IF(H61&lt;25,0,IF(H61&lt;30,1,2))</f>
      </c>
      <c r="J61" s="13">
        <v>3</v>
      </c>
      <c r="K61" s="7" t="s">
        <v>86</v>
      </c>
      <c r="L61" s="7" t="s">
        <v>73</v>
      </c>
      <c r="M61" s="7" t="s">
        <v>54</v>
      </c>
      <c r="N61" s="7" t="s">
        <v>38</v>
      </c>
      <c r="O61" s="7" t="s">
        <v>74</v>
      </c>
      <c r="P61" s="7" t="s">
        <v>40</v>
      </c>
      <c r="Q61" s="10">
        <f>IF(P61="None of the above",0,2)</f>
      </c>
      <c r="R61" s="15" t="s">
        <v>56</v>
      </c>
      <c r="S61" s="7" t="s">
        <v>42</v>
      </c>
      <c r="T61" s="7" t="s">
        <v>96</v>
      </c>
      <c r="U61" s="10">
        <f>IF(T61="Heavy physical",0,IF(T61="Moderate activity",1,2))</f>
      </c>
      <c r="V61" s="5" t="s">
        <v>44</v>
      </c>
      <c r="W61" s="10">
        <f>IF(V61="7–8 hours",0,IF(V61="6–7 hours",1,2))</f>
      </c>
      <c r="X61" s="7" t="s">
        <v>70</v>
      </c>
      <c r="Y61" s="7" t="s">
        <v>64</v>
      </c>
      <c r="Z61" s="7" t="s">
        <v>92</v>
      </c>
      <c r="AA61" s="7" t="s">
        <v>42</v>
      </c>
      <c r="AB61" s="7" t="s">
        <v>42</v>
      </c>
      <c r="AC61" s="7" t="s">
        <v>42</v>
      </c>
      <c r="AD61" s="10">
        <f>I61 + Q61 + U61 + W61</f>
      </c>
      <c r="AE61" s="10">
        <f>IF(AD61&lt;=2,0,IF(AD61&lt;=5,1,2))</f>
      </c>
      <c r="AF61" s="7"/>
    </row>
    <row x14ac:dyDescent="0.25" r="62" customHeight="1" ht="17.25" hidden="1">
      <c r="A62" s="7" t="s">
        <v>76</v>
      </c>
      <c r="B62" s="7" t="s">
        <v>32</v>
      </c>
      <c r="C62" s="7" t="s">
        <v>50</v>
      </c>
      <c r="D62" s="10">
        <v>4</v>
      </c>
      <c r="E62" s="7" t="s">
        <v>51</v>
      </c>
      <c r="F62" s="10">
        <v>196</v>
      </c>
      <c r="G62" s="11">
        <v>84</v>
      </c>
      <c r="H62" s="12">
        <f>G62/((F62/100)*(F62/100))</f>
      </c>
      <c r="I62" s="11">
        <f>IF(H62&lt;25,0,IF(H62&lt;30,1,2))</f>
      </c>
      <c r="J62" s="13">
        <v>3</v>
      </c>
      <c r="K62" s="7" t="s">
        <v>72</v>
      </c>
      <c r="L62" s="7" t="s">
        <v>36</v>
      </c>
      <c r="M62" s="7" t="s">
        <v>37</v>
      </c>
      <c r="N62" s="7" t="s">
        <v>38</v>
      </c>
      <c r="O62" s="7" t="s">
        <v>68</v>
      </c>
      <c r="P62" s="7" t="s">
        <v>81</v>
      </c>
      <c r="Q62" s="10">
        <f>IF(P62="None of the above",0,2)</f>
      </c>
      <c r="R62" s="7" t="s">
        <v>89</v>
      </c>
      <c r="S62" s="15" t="s">
        <v>48</v>
      </c>
      <c r="T62" s="7" t="s">
        <v>96</v>
      </c>
      <c r="U62" s="10">
        <f>IF(T62="Heavy physical",0,IF(T62="Moderate activity",1,2))</f>
      </c>
      <c r="V62" s="5" t="s">
        <v>57</v>
      </c>
      <c r="W62" s="10">
        <f>IF(V62="7–8 hours",0,IF(V62="6–7 hours",1,2))</f>
      </c>
      <c r="X62" s="7" t="s">
        <v>45</v>
      </c>
      <c r="Y62" s="7" t="s">
        <v>58</v>
      </c>
      <c r="Z62" s="7" t="s">
        <v>45</v>
      </c>
      <c r="AA62" s="7" t="s">
        <v>42</v>
      </c>
      <c r="AB62" s="7" t="s">
        <v>42</v>
      </c>
      <c r="AC62" s="7" t="s">
        <v>42</v>
      </c>
      <c r="AD62" s="10">
        <f>I62 + Q62 + U62 + W62</f>
      </c>
      <c r="AE62" s="10">
        <f>IF(AD62&lt;=2,0,IF(AD62&lt;=5,1,2))</f>
      </c>
      <c r="AF62" s="7"/>
    </row>
    <row x14ac:dyDescent="0.25" r="63" customHeight="1" ht="17.25" hidden="1">
      <c r="A63" s="7" t="s">
        <v>49</v>
      </c>
      <c r="B63" s="7" t="s">
        <v>59</v>
      </c>
      <c r="C63" s="16" t="s">
        <v>126</v>
      </c>
      <c r="D63" s="10">
        <v>8</v>
      </c>
      <c r="E63" s="7" t="s">
        <v>34</v>
      </c>
      <c r="F63" s="10">
        <v>166</v>
      </c>
      <c r="G63" s="11">
        <v>65</v>
      </c>
      <c r="H63" s="12">
        <f>G63/((F63/100)*(F63/100))</f>
      </c>
      <c r="I63" s="11">
        <f>IF(H63&lt;25,0,IF(H63&lt;30,1,2))</f>
      </c>
      <c r="J63" s="13">
        <v>3</v>
      </c>
      <c r="K63" s="7" t="s">
        <v>72</v>
      </c>
      <c r="L63" s="7" t="s">
        <v>137</v>
      </c>
      <c r="M63" s="7" t="s">
        <v>37</v>
      </c>
      <c r="N63" s="7" t="s">
        <v>38</v>
      </c>
      <c r="O63" s="7" t="s">
        <v>74</v>
      </c>
      <c r="P63" s="7" t="s">
        <v>81</v>
      </c>
      <c r="Q63" s="10">
        <f>IF(P63="None of the above",0,2)</f>
      </c>
      <c r="R63" s="7" t="s">
        <v>89</v>
      </c>
      <c r="S63" s="15" t="s">
        <v>48</v>
      </c>
      <c r="T63" s="7" t="s">
        <v>96</v>
      </c>
      <c r="U63" s="10">
        <f>IF(T63="Heavy physical",0,IF(T63="Moderate activity",1,2))</f>
      </c>
      <c r="V63" s="5" t="s">
        <v>57</v>
      </c>
      <c r="W63" s="10">
        <f>IF(V63="7–8 hours",0,IF(V63="6–7 hours",1,2))</f>
      </c>
      <c r="X63" s="7" t="s">
        <v>45</v>
      </c>
      <c r="Y63" s="7" t="s">
        <v>46</v>
      </c>
      <c r="Z63" s="7" t="s">
        <v>45</v>
      </c>
      <c r="AA63" s="7" t="s">
        <v>48</v>
      </c>
      <c r="AB63" s="7" t="s">
        <v>42</v>
      </c>
      <c r="AC63" s="7" t="s">
        <v>48</v>
      </c>
      <c r="AD63" s="10">
        <f>I63 + Q63 + U63 + W63</f>
      </c>
      <c r="AE63" s="10">
        <f>IF(AD63&lt;=2,0,IF(AD63&lt;=5,1,2))</f>
      </c>
      <c r="AF63" s="7"/>
    </row>
    <row x14ac:dyDescent="0.25" r="64" customHeight="1" ht="17.25" hidden="1">
      <c r="A64" s="7" t="s">
        <v>76</v>
      </c>
      <c r="B64" s="7" t="s">
        <v>71</v>
      </c>
      <c r="C64" s="7" t="s">
        <v>33</v>
      </c>
      <c r="D64" s="10">
        <v>7</v>
      </c>
      <c r="E64" s="7" t="s">
        <v>34</v>
      </c>
      <c r="F64" s="10">
        <v>154</v>
      </c>
      <c r="G64" s="11">
        <v>72</v>
      </c>
      <c r="H64" s="12">
        <f>G64/((F64/100)*(F64/100))</f>
      </c>
      <c r="I64" s="11">
        <f>IF(H64&lt;25,0,IF(H64&lt;30,1,2))</f>
      </c>
      <c r="J64" s="13">
        <v>2</v>
      </c>
      <c r="K64" s="7" t="s">
        <v>105</v>
      </c>
      <c r="L64" s="7" t="s">
        <v>87</v>
      </c>
      <c r="M64" s="7" t="s">
        <v>37</v>
      </c>
      <c r="N64" s="7" t="s">
        <v>38</v>
      </c>
      <c r="O64" s="7" t="s">
        <v>68</v>
      </c>
      <c r="P64" s="7" t="s">
        <v>40</v>
      </c>
      <c r="Q64" s="10">
        <f>IF(P64="None of the above",0,2)</f>
      </c>
      <c r="R64" s="15" t="s">
        <v>56</v>
      </c>
      <c r="S64" s="7" t="s">
        <v>42</v>
      </c>
      <c r="T64" s="7" t="s">
        <v>96</v>
      </c>
      <c r="U64" s="10">
        <f>IF(T64="Heavy physical",0,IF(T64="Moderate activity",1,2))</f>
      </c>
      <c r="V64" s="5" t="s">
        <v>69</v>
      </c>
      <c r="W64" s="10">
        <f>IF(V64="7–8 hours",0,IF(V64="6–7 hours",1,2))</f>
      </c>
      <c r="X64" s="7" t="s">
        <v>45</v>
      </c>
      <c r="Y64" s="7" t="s">
        <v>64</v>
      </c>
      <c r="Z64" s="7" t="s">
        <v>92</v>
      </c>
      <c r="AA64" s="7" t="s">
        <v>42</v>
      </c>
      <c r="AB64" s="7" t="s">
        <v>42</v>
      </c>
      <c r="AC64" s="7" t="s">
        <v>48</v>
      </c>
      <c r="AD64" s="10">
        <f>I64 + Q64 + U64 + W64</f>
      </c>
      <c r="AE64" s="10">
        <f>IF(AD64&lt;=2,0,IF(AD64&lt;=5,1,2))</f>
      </c>
      <c r="AF64" s="7"/>
    </row>
    <row x14ac:dyDescent="0.25" r="65" customHeight="1" ht="17.25" hidden="1">
      <c r="A65" s="7" t="s">
        <v>49</v>
      </c>
      <c r="B65" s="7" t="s">
        <v>77</v>
      </c>
      <c r="C65" s="7" t="s">
        <v>122</v>
      </c>
      <c r="D65" s="10">
        <v>3</v>
      </c>
      <c r="E65" s="7" t="s">
        <v>34</v>
      </c>
      <c r="F65" s="10">
        <v>153</v>
      </c>
      <c r="G65" s="11">
        <v>98</v>
      </c>
      <c r="H65" s="12">
        <f>G65/((F65/100)*(F65/100))</f>
      </c>
      <c r="I65" s="11">
        <f>IF(H65&lt;25,0,IF(H65&lt;30,1,2))</f>
      </c>
      <c r="J65" s="13">
        <v>2</v>
      </c>
      <c r="K65" s="7" t="s">
        <v>86</v>
      </c>
      <c r="L65" s="7" t="s">
        <v>127</v>
      </c>
      <c r="M65" s="7" t="s">
        <v>37</v>
      </c>
      <c r="N65" s="7" t="s">
        <v>38</v>
      </c>
      <c r="O65" s="7" t="s">
        <v>74</v>
      </c>
      <c r="P65" s="7" t="s">
        <v>55</v>
      </c>
      <c r="Q65" s="10">
        <f>IF(P65="None of the above",0,2)</f>
      </c>
      <c r="R65" s="15" t="s">
        <v>56</v>
      </c>
      <c r="S65" s="15" t="s">
        <v>48</v>
      </c>
      <c r="T65" s="7" t="s">
        <v>96</v>
      </c>
      <c r="U65" s="10">
        <f>IF(T65="Heavy physical",0,IF(T65="Moderate activity",1,2))</f>
      </c>
      <c r="V65" s="5" t="s">
        <v>57</v>
      </c>
      <c r="W65" s="10">
        <f>IF(V65="7–8 hours",0,IF(V65="6–7 hours",1,2))</f>
      </c>
      <c r="X65" s="7" t="s">
        <v>45</v>
      </c>
      <c r="Y65" s="7" t="s">
        <v>64</v>
      </c>
      <c r="Z65" s="7" t="s">
        <v>47</v>
      </c>
      <c r="AA65" s="7" t="s">
        <v>48</v>
      </c>
      <c r="AB65" s="7" t="s">
        <v>48</v>
      </c>
      <c r="AC65" s="7" t="s">
        <v>42</v>
      </c>
      <c r="AD65" s="10">
        <f>I65 + Q65 + U65 + W65</f>
      </c>
      <c r="AE65" s="10">
        <f>IF(AD65&lt;=2,0,IF(AD65&lt;=5,1,2))</f>
      </c>
      <c r="AF65" s="7"/>
    </row>
    <row x14ac:dyDescent="0.25" r="66" customHeight="1" ht="17.25" hidden="1">
      <c r="A66" s="7" t="s">
        <v>49</v>
      </c>
      <c r="B66" s="7" t="s">
        <v>66</v>
      </c>
      <c r="C66" s="16" t="s">
        <v>126</v>
      </c>
      <c r="D66" s="10">
        <v>6</v>
      </c>
      <c r="E66" s="7" t="s">
        <v>51</v>
      </c>
      <c r="F66" s="10">
        <v>191</v>
      </c>
      <c r="G66" s="11">
        <v>59</v>
      </c>
      <c r="H66" s="12">
        <f>G66/((F66/100)*(F66/100))</f>
      </c>
      <c r="I66" s="11">
        <f>IF(H66&lt;25,0,IF(H66&lt;30,1,2))</f>
      </c>
      <c r="J66" s="13">
        <v>3</v>
      </c>
      <c r="K66" s="7" t="s">
        <v>86</v>
      </c>
      <c r="L66" s="7" t="s">
        <v>111</v>
      </c>
      <c r="M66" s="7" t="s">
        <v>37</v>
      </c>
      <c r="N66" s="7" t="s">
        <v>38</v>
      </c>
      <c r="O66" s="7" t="s">
        <v>63</v>
      </c>
      <c r="P66" s="7" t="s">
        <v>55</v>
      </c>
      <c r="Q66" s="10">
        <f>IF(P66="None of the above",0,2)</f>
      </c>
      <c r="R66" s="7" t="s">
        <v>56</v>
      </c>
      <c r="S66" s="7" t="s">
        <v>42</v>
      </c>
      <c r="T66" s="7" t="s">
        <v>96</v>
      </c>
      <c r="U66" s="10">
        <f>IF(T66="Heavy physical",0,IF(T66="Moderate activity",1,2))</f>
      </c>
      <c r="V66" s="5" t="s">
        <v>44</v>
      </c>
      <c r="W66" s="10">
        <f>IF(V66="7–8 hours",0,IF(V66="6–7 hours",1,2))</f>
      </c>
      <c r="X66" s="7" t="s">
        <v>45</v>
      </c>
      <c r="Y66" s="7" t="s">
        <v>64</v>
      </c>
      <c r="Z66" s="7" t="s">
        <v>45</v>
      </c>
      <c r="AA66" s="7" t="s">
        <v>42</v>
      </c>
      <c r="AB66" s="7" t="s">
        <v>42</v>
      </c>
      <c r="AC66" s="7" t="s">
        <v>42</v>
      </c>
      <c r="AD66" s="10">
        <f>I66 + Q66 + U66 + W66</f>
      </c>
      <c r="AE66" s="10">
        <f>IF(AD66&lt;=2,0,IF(AD66&lt;=5,1,2))</f>
      </c>
      <c r="AF66" s="7"/>
    </row>
    <row x14ac:dyDescent="0.25" r="67" customHeight="1" ht="17.25" hidden="1">
      <c r="A67" s="7" t="s">
        <v>76</v>
      </c>
      <c r="B67" s="7" t="s">
        <v>77</v>
      </c>
      <c r="C67" s="7" t="s">
        <v>33</v>
      </c>
      <c r="D67" s="10">
        <v>5</v>
      </c>
      <c r="E67" s="7" t="s">
        <v>34</v>
      </c>
      <c r="F67" s="10">
        <v>150</v>
      </c>
      <c r="G67" s="11">
        <v>82</v>
      </c>
      <c r="H67" s="12">
        <f>G67/((F67/100)*(F67/100))</f>
      </c>
      <c r="I67" s="11">
        <f>IF(H67&lt;25,0,IF(H67&lt;30,1,2))</f>
      </c>
      <c r="J67" s="13">
        <v>2</v>
      </c>
      <c r="K67" s="7" t="s">
        <v>61</v>
      </c>
      <c r="L67" s="7" t="s">
        <v>138</v>
      </c>
      <c r="M67" s="7" t="s">
        <v>37</v>
      </c>
      <c r="N67" s="7" t="s">
        <v>38</v>
      </c>
      <c r="O67" s="7" t="s">
        <v>80</v>
      </c>
      <c r="P67" s="7" t="s">
        <v>40</v>
      </c>
      <c r="Q67" s="10">
        <f>IF(P67="None of the above",0,2)</f>
      </c>
      <c r="R67" s="15" t="s">
        <v>56</v>
      </c>
      <c r="S67" s="15" t="s">
        <v>48</v>
      </c>
      <c r="T67" s="7" t="s">
        <v>96</v>
      </c>
      <c r="U67" s="10">
        <f>IF(T67="Heavy physical",0,IF(T67="Moderate activity",1,2))</f>
      </c>
      <c r="V67" s="5" t="s">
        <v>69</v>
      </c>
      <c r="W67" s="10">
        <f>IF(V67="7–8 hours",0,IF(V67="6–7 hours",1,2))</f>
      </c>
      <c r="X67" s="7" t="s">
        <v>70</v>
      </c>
      <c r="Y67" s="7" t="s">
        <v>58</v>
      </c>
      <c r="Z67" s="7" t="s">
        <v>65</v>
      </c>
      <c r="AA67" s="7" t="s">
        <v>42</v>
      </c>
      <c r="AB67" s="7" t="s">
        <v>42</v>
      </c>
      <c r="AC67" s="7" t="s">
        <v>48</v>
      </c>
      <c r="AD67" s="10">
        <f>I67 + Q67 + U67 + W67</f>
      </c>
      <c r="AE67" s="10">
        <f>IF(AD67&lt;=2,0,IF(AD67&lt;=5,1,2))</f>
      </c>
      <c r="AF67" s="7"/>
    </row>
    <row x14ac:dyDescent="0.25" r="68" customHeight="1" ht="17.25" hidden="1">
      <c r="A68" s="7" t="s">
        <v>31</v>
      </c>
      <c r="B68" s="7" t="s">
        <v>93</v>
      </c>
      <c r="C68" s="7" t="s">
        <v>33</v>
      </c>
      <c r="D68" s="10">
        <v>8</v>
      </c>
      <c r="E68" s="7" t="s">
        <v>34</v>
      </c>
      <c r="F68" s="10">
        <v>157</v>
      </c>
      <c r="G68" s="11">
        <v>69</v>
      </c>
      <c r="H68" s="12">
        <f>G68/((F68/100)*(F68/100))</f>
      </c>
      <c r="I68" s="11">
        <f>IF(H68&lt;25,0,IF(H68&lt;30,1,2))</f>
      </c>
      <c r="J68" s="13">
        <v>2</v>
      </c>
      <c r="K68" s="7" t="s">
        <v>61</v>
      </c>
      <c r="L68" s="7" t="s">
        <v>139</v>
      </c>
      <c r="M68" s="7" t="s">
        <v>37</v>
      </c>
      <c r="N68" s="7" t="s">
        <v>38</v>
      </c>
      <c r="O68" s="7" t="s">
        <v>63</v>
      </c>
      <c r="P68" s="7" t="s">
        <v>81</v>
      </c>
      <c r="Q68" s="10">
        <f>IF(P68="None of the above",0,2)</f>
      </c>
      <c r="R68" s="7" t="s">
        <v>89</v>
      </c>
      <c r="S68" s="7" t="s">
        <v>42</v>
      </c>
      <c r="T68" s="7" t="s">
        <v>96</v>
      </c>
      <c r="U68" s="10">
        <f>IF(T68="Heavy physical",0,IF(T68="Moderate activity",1,2))</f>
      </c>
      <c r="V68" s="5" t="s">
        <v>69</v>
      </c>
      <c r="W68" s="10">
        <f>IF(V68="7–8 hours",0,IF(V68="6–7 hours",1,2))</f>
      </c>
      <c r="X68" s="7" t="s">
        <v>45</v>
      </c>
      <c r="Y68" s="7" t="s">
        <v>46</v>
      </c>
      <c r="Z68" s="7" t="s">
        <v>47</v>
      </c>
      <c r="AA68" s="7" t="s">
        <v>42</v>
      </c>
      <c r="AB68" s="7" t="s">
        <v>48</v>
      </c>
      <c r="AC68" s="7" t="s">
        <v>42</v>
      </c>
      <c r="AD68" s="10">
        <f>I68 + Q68 + U68 + W68</f>
      </c>
      <c r="AE68" s="10">
        <f>IF(AD68&lt;=2,0,IF(AD68&lt;=5,1,2))</f>
      </c>
      <c r="AF68" s="7"/>
    </row>
    <row x14ac:dyDescent="0.25" r="69" customHeight="1" ht="17.25" hidden="1">
      <c r="A69" s="7" t="s">
        <v>31</v>
      </c>
      <c r="B69" s="7" t="s">
        <v>93</v>
      </c>
      <c r="C69" s="16" t="s">
        <v>126</v>
      </c>
      <c r="D69" s="10">
        <v>3</v>
      </c>
      <c r="E69" s="7" t="s">
        <v>34</v>
      </c>
      <c r="F69" s="10">
        <v>200</v>
      </c>
      <c r="G69" s="11">
        <v>60</v>
      </c>
      <c r="H69" s="11">
        <f>G69/((F69/100)*(F69/100))</f>
      </c>
      <c r="I69" s="11">
        <f>IF(H69&lt;25,0,IF(H69&lt;30,1,2))</f>
      </c>
      <c r="J69" s="13">
        <v>3</v>
      </c>
      <c r="K69" s="7" t="s">
        <v>61</v>
      </c>
      <c r="L69" s="7" t="s">
        <v>140</v>
      </c>
      <c r="M69" s="7" t="s">
        <v>41</v>
      </c>
      <c r="N69" s="7" t="s">
        <v>38</v>
      </c>
      <c r="O69" s="7" t="s">
        <v>68</v>
      </c>
      <c r="P69" s="7" t="s">
        <v>55</v>
      </c>
      <c r="Q69" s="10">
        <f>IF(P69="None of the above",0,2)</f>
      </c>
      <c r="R69" s="7" t="s">
        <v>56</v>
      </c>
      <c r="S69" s="15" t="s">
        <v>48</v>
      </c>
      <c r="T69" s="7" t="s">
        <v>96</v>
      </c>
      <c r="U69" s="10">
        <f>IF(T69="Heavy physical",0,IF(T69="Moderate activity",1,2))</f>
      </c>
      <c r="V69" s="5" t="s">
        <v>69</v>
      </c>
      <c r="W69" s="10">
        <f>IF(V69="7–8 hours",0,IF(V69="6–7 hours",1,2))</f>
      </c>
      <c r="X69" s="7" t="s">
        <v>45</v>
      </c>
      <c r="Y69" s="7" t="s">
        <v>75</v>
      </c>
      <c r="Z69" s="7" t="s">
        <v>47</v>
      </c>
      <c r="AA69" s="7" t="s">
        <v>48</v>
      </c>
      <c r="AB69" s="7" t="s">
        <v>48</v>
      </c>
      <c r="AC69" s="7" t="s">
        <v>42</v>
      </c>
      <c r="AD69" s="10">
        <f>I69 + Q69 + U69 + W69</f>
      </c>
      <c r="AE69" s="10">
        <f>IF(AD69&lt;=2,0,IF(AD69&lt;=5,1,2))</f>
      </c>
      <c r="AF69" s="7"/>
    </row>
    <row x14ac:dyDescent="0.25" r="70" customHeight="1" ht="17.25" hidden="1">
      <c r="A70" s="7" t="s">
        <v>31</v>
      </c>
      <c r="B70" s="7" t="s">
        <v>71</v>
      </c>
      <c r="C70" s="7" t="s">
        <v>141</v>
      </c>
      <c r="D70" s="10">
        <v>5</v>
      </c>
      <c r="E70" s="7" t="s">
        <v>34</v>
      </c>
      <c r="F70" s="10">
        <v>150</v>
      </c>
      <c r="G70" s="11">
        <v>119</v>
      </c>
      <c r="H70" s="12">
        <f>G70/((F70/100)*(F70/100))</f>
      </c>
      <c r="I70" s="11">
        <f>IF(H70&lt;25,0,IF(H70&lt;30,1,2))</f>
      </c>
      <c r="J70" s="13">
        <v>1</v>
      </c>
      <c r="K70" s="7" t="s">
        <v>86</v>
      </c>
      <c r="L70" s="7" t="s">
        <v>142</v>
      </c>
      <c r="M70" s="7" t="s">
        <v>41</v>
      </c>
      <c r="N70" s="7" t="s">
        <v>38</v>
      </c>
      <c r="O70" s="7" t="s">
        <v>74</v>
      </c>
      <c r="P70" s="7" t="s">
        <v>40</v>
      </c>
      <c r="Q70" s="10">
        <f>IF(P70="None of the above",0,2)</f>
      </c>
      <c r="R70" s="15" t="s">
        <v>56</v>
      </c>
      <c r="S70" s="7" t="s">
        <v>42</v>
      </c>
      <c r="T70" s="7" t="s">
        <v>96</v>
      </c>
      <c r="U70" s="10">
        <f>IF(T70="Heavy physical",0,IF(T70="Moderate activity",1,2))</f>
      </c>
      <c r="V70" s="5" t="s">
        <v>57</v>
      </c>
      <c r="W70" s="10">
        <f>IF(V70="7–8 hours",0,IF(V70="6–7 hours",1,2))</f>
      </c>
      <c r="X70" s="7" t="s">
        <v>45</v>
      </c>
      <c r="Y70" s="7" t="s">
        <v>75</v>
      </c>
      <c r="Z70" s="7" t="s">
        <v>45</v>
      </c>
      <c r="AA70" s="7" t="s">
        <v>42</v>
      </c>
      <c r="AB70" s="7" t="s">
        <v>42</v>
      </c>
      <c r="AC70" s="7" t="s">
        <v>42</v>
      </c>
      <c r="AD70" s="10">
        <f>I70 + Q70 + U70 + W70</f>
      </c>
      <c r="AE70" s="10">
        <f>IF(AD70&lt;=2,0,IF(AD70&lt;=5,1,2))</f>
      </c>
      <c r="AF70" s="7"/>
    </row>
    <row x14ac:dyDescent="0.25" r="71" customHeight="1" ht="17.25" hidden="1">
      <c r="A71" s="7" t="s">
        <v>76</v>
      </c>
      <c r="B71" s="7" t="s">
        <v>84</v>
      </c>
      <c r="C71" s="16" t="s">
        <v>126</v>
      </c>
      <c r="D71" s="10">
        <v>6</v>
      </c>
      <c r="E71" s="7" t="s">
        <v>51</v>
      </c>
      <c r="F71" s="10">
        <v>185</v>
      </c>
      <c r="G71" s="11">
        <v>63</v>
      </c>
      <c r="H71" s="12">
        <f>G71/((F71/100)*(F71/100))</f>
      </c>
      <c r="I71" s="11">
        <f>IF(H71&lt;25,0,IF(H71&lt;30,1,2))</f>
      </c>
      <c r="J71" s="13">
        <v>3</v>
      </c>
      <c r="K71" s="7" t="s">
        <v>61</v>
      </c>
      <c r="L71" s="7" t="s">
        <v>143</v>
      </c>
      <c r="M71" s="7" t="s">
        <v>37</v>
      </c>
      <c r="N71" s="7" t="s">
        <v>38</v>
      </c>
      <c r="O71" s="7" t="s">
        <v>39</v>
      </c>
      <c r="P71" s="7" t="s">
        <v>81</v>
      </c>
      <c r="Q71" s="10">
        <f>IF(P71="None of the above",0,2)</f>
      </c>
      <c r="R71" s="7" t="s">
        <v>89</v>
      </c>
      <c r="S71" s="15" t="s">
        <v>48</v>
      </c>
      <c r="T71" s="7" t="s">
        <v>96</v>
      </c>
      <c r="U71" s="10">
        <f>IF(T71="Heavy physical",0,IF(T71="Moderate activity",1,2))</f>
      </c>
      <c r="V71" s="5" t="s">
        <v>57</v>
      </c>
      <c r="W71" s="10">
        <f>IF(V71="7–8 hours",0,IF(V71="6–7 hours",1,2))</f>
      </c>
      <c r="X71" s="7" t="s">
        <v>45</v>
      </c>
      <c r="Y71" s="7" t="s">
        <v>75</v>
      </c>
      <c r="Z71" s="7" t="s">
        <v>45</v>
      </c>
      <c r="AA71" s="7" t="s">
        <v>42</v>
      </c>
      <c r="AB71" s="7" t="s">
        <v>42</v>
      </c>
      <c r="AC71" s="7" t="s">
        <v>42</v>
      </c>
      <c r="AD71" s="10">
        <f>I71 + Q71 + U71 + W71</f>
      </c>
      <c r="AE71" s="10">
        <f>IF(AD71&lt;=2,0,IF(AD71&lt;=5,1,2))</f>
      </c>
      <c r="AF71" s="7"/>
    </row>
    <row x14ac:dyDescent="0.25" r="72" customHeight="1" ht="17.25" hidden="1">
      <c r="A72" s="7" t="s">
        <v>49</v>
      </c>
      <c r="B72" s="7" t="s">
        <v>71</v>
      </c>
      <c r="C72" s="7" t="s">
        <v>122</v>
      </c>
      <c r="D72" s="10">
        <v>7</v>
      </c>
      <c r="E72" s="7" t="s">
        <v>51</v>
      </c>
      <c r="F72" s="10">
        <v>193</v>
      </c>
      <c r="G72" s="11">
        <v>119</v>
      </c>
      <c r="H72" s="12">
        <f>G72/((F72/100)*(F72/100))</f>
      </c>
      <c r="I72" s="11">
        <f>IF(H72&lt;25,0,IF(H72&lt;30,1,2))</f>
      </c>
      <c r="J72" s="13">
        <v>2</v>
      </c>
      <c r="K72" s="7" t="s">
        <v>72</v>
      </c>
      <c r="L72" s="7" t="s">
        <v>36</v>
      </c>
      <c r="M72" s="7" t="s">
        <v>37</v>
      </c>
      <c r="N72" s="7" t="s">
        <v>38</v>
      </c>
      <c r="O72" s="7" t="s">
        <v>80</v>
      </c>
      <c r="P72" s="7" t="s">
        <v>55</v>
      </c>
      <c r="Q72" s="10">
        <f>IF(P72="None of the above",0,2)</f>
      </c>
      <c r="R72" s="7" t="s">
        <v>56</v>
      </c>
      <c r="S72" s="7" t="s">
        <v>42</v>
      </c>
      <c r="T72" s="7" t="s">
        <v>99</v>
      </c>
      <c r="U72" s="10">
        <f>IF(T72="Heavy physical",0,IF(T72="Moderate activity",1,2))</f>
      </c>
      <c r="V72" s="5" t="s">
        <v>57</v>
      </c>
      <c r="W72" s="10">
        <f>IF(V72="7–8 hours",0,IF(V72="6–7 hours",1,2))</f>
      </c>
      <c r="X72" s="7" t="s">
        <v>45</v>
      </c>
      <c r="Y72" s="7" t="s">
        <v>46</v>
      </c>
      <c r="Z72" s="7" t="s">
        <v>45</v>
      </c>
      <c r="AA72" s="7" t="s">
        <v>42</v>
      </c>
      <c r="AB72" s="7" t="s">
        <v>42</v>
      </c>
      <c r="AC72" s="7" t="s">
        <v>42</v>
      </c>
      <c r="AD72" s="10">
        <f>I72 + Q72 + U72 + W72</f>
      </c>
      <c r="AE72" s="10">
        <f>IF(AD72&lt;=2,0,IF(AD72&lt;=5,1,2))</f>
      </c>
      <c r="AF72" s="7"/>
    </row>
    <row x14ac:dyDescent="0.25" r="73" customHeight="1" ht="17.25" hidden="1">
      <c r="A73" s="7" t="s">
        <v>31</v>
      </c>
      <c r="B73" s="7" t="s">
        <v>59</v>
      </c>
      <c r="C73" s="7" t="s">
        <v>33</v>
      </c>
      <c r="D73" s="10">
        <v>3</v>
      </c>
      <c r="E73" s="7" t="s">
        <v>51</v>
      </c>
      <c r="F73" s="10">
        <v>143</v>
      </c>
      <c r="G73" s="11">
        <v>63</v>
      </c>
      <c r="H73" s="12">
        <f>G73/((F73/100)*(F73/100))</f>
      </c>
      <c r="I73" s="11">
        <f>IF(H73&lt;25,0,IF(H73&lt;30,1,2))</f>
      </c>
      <c r="J73" s="13">
        <v>2</v>
      </c>
      <c r="K73" s="7" t="s">
        <v>86</v>
      </c>
      <c r="L73" s="7" t="s">
        <v>144</v>
      </c>
      <c r="M73" s="7" t="s">
        <v>37</v>
      </c>
      <c r="N73" s="7" t="s">
        <v>38</v>
      </c>
      <c r="O73" s="7" t="s">
        <v>80</v>
      </c>
      <c r="P73" s="7" t="s">
        <v>40</v>
      </c>
      <c r="Q73" s="10">
        <f>IF(P73="None of the above",0,2)</f>
      </c>
      <c r="R73" s="15" t="s">
        <v>56</v>
      </c>
      <c r="S73" s="15" t="s">
        <v>48</v>
      </c>
      <c r="T73" s="7" t="s">
        <v>96</v>
      </c>
      <c r="U73" s="10">
        <f>IF(T73="Heavy physical",0,IF(T73="Moderate activity",1,2))</f>
      </c>
      <c r="V73" s="5" t="s">
        <v>57</v>
      </c>
      <c r="W73" s="10">
        <f>IF(V73="7–8 hours",0,IF(V73="6–7 hours",1,2))</f>
      </c>
      <c r="X73" s="7" t="s">
        <v>102</v>
      </c>
      <c r="Y73" s="7" t="s">
        <v>64</v>
      </c>
      <c r="Z73" s="7" t="s">
        <v>45</v>
      </c>
      <c r="AA73" s="7" t="s">
        <v>42</v>
      </c>
      <c r="AB73" s="7" t="s">
        <v>42</v>
      </c>
      <c r="AC73" s="7" t="s">
        <v>42</v>
      </c>
      <c r="AD73" s="10">
        <f>I73 + Q73 + U73 + W73</f>
      </c>
      <c r="AE73" s="10">
        <f>IF(AD73&lt;=2,0,IF(AD73&lt;=5,1,2))</f>
      </c>
      <c r="AF73" s="7"/>
    </row>
    <row x14ac:dyDescent="0.25" r="74" customHeight="1" ht="17.25" hidden="1">
      <c r="A74" s="7" t="s">
        <v>49</v>
      </c>
      <c r="B74" s="7" t="s">
        <v>59</v>
      </c>
      <c r="C74" s="7" t="s">
        <v>141</v>
      </c>
      <c r="D74" s="10">
        <v>3</v>
      </c>
      <c r="E74" s="7" t="s">
        <v>34</v>
      </c>
      <c r="F74" s="10">
        <v>187</v>
      </c>
      <c r="G74" s="11">
        <v>102</v>
      </c>
      <c r="H74" s="12">
        <f>G74/((F74/100)*(F74/100))</f>
      </c>
      <c r="I74" s="11">
        <f>IF(H74&lt;25,0,IF(H74&lt;30,1,2))</f>
      </c>
      <c r="J74" s="13">
        <v>3</v>
      </c>
      <c r="K74" s="7" t="s">
        <v>105</v>
      </c>
      <c r="L74" s="7" t="s">
        <v>108</v>
      </c>
      <c r="M74" s="7" t="s">
        <v>37</v>
      </c>
      <c r="N74" s="7" t="s">
        <v>38</v>
      </c>
      <c r="O74" s="7" t="s">
        <v>39</v>
      </c>
      <c r="P74" s="7" t="s">
        <v>55</v>
      </c>
      <c r="Q74" s="10">
        <f>IF(P74="None of the above",0,2)</f>
      </c>
      <c r="R74" s="7" t="s">
        <v>41</v>
      </c>
      <c r="S74" s="7" t="s">
        <v>42</v>
      </c>
      <c r="T74" s="7" t="s">
        <v>96</v>
      </c>
      <c r="U74" s="10">
        <f>IF(T74="Heavy physical",0,IF(T74="Moderate activity",1,2))</f>
      </c>
      <c r="V74" s="5" t="s">
        <v>69</v>
      </c>
      <c r="W74" s="10">
        <f>IF(V74="7–8 hours",0,IF(V74="6–7 hours",1,2))</f>
      </c>
      <c r="X74" s="7" t="s">
        <v>45</v>
      </c>
      <c r="Y74" s="7" t="s">
        <v>75</v>
      </c>
      <c r="Z74" s="7" t="s">
        <v>45</v>
      </c>
      <c r="AA74" s="7" t="s">
        <v>42</v>
      </c>
      <c r="AB74" s="7" t="s">
        <v>48</v>
      </c>
      <c r="AC74" s="7" t="s">
        <v>48</v>
      </c>
      <c r="AD74" s="10">
        <f>I74 + Q74 + U74 + W74</f>
      </c>
      <c r="AE74" s="10">
        <f>IF(AD74&lt;=2,0,IF(AD74&lt;=5,1,2))</f>
      </c>
      <c r="AF74" s="7"/>
    </row>
    <row x14ac:dyDescent="0.25" r="75" customHeight="1" ht="17.25" hidden="1">
      <c r="A75" s="7" t="s">
        <v>49</v>
      </c>
      <c r="B75" s="7" t="s">
        <v>59</v>
      </c>
      <c r="C75" s="7" t="s">
        <v>33</v>
      </c>
      <c r="D75" s="10">
        <v>5</v>
      </c>
      <c r="E75" s="7" t="s">
        <v>51</v>
      </c>
      <c r="F75" s="10">
        <v>172</v>
      </c>
      <c r="G75" s="11">
        <v>78</v>
      </c>
      <c r="H75" s="12">
        <f>G75/((F75/100)*(F75/100))</f>
      </c>
      <c r="I75" s="11">
        <f>IF(H75&lt;25,0,IF(H75&lt;30,1,2))</f>
      </c>
      <c r="J75" s="13">
        <v>2</v>
      </c>
      <c r="K75" s="7" t="s">
        <v>52</v>
      </c>
      <c r="L75" s="7" t="s">
        <v>145</v>
      </c>
      <c r="M75" s="7" t="s">
        <v>37</v>
      </c>
      <c r="N75" s="7" t="s">
        <v>38</v>
      </c>
      <c r="O75" s="7" t="s">
        <v>68</v>
      </c>
      <c r="P75" s="7" t="s">
        <v>81</v>
      </c>
      <c r="Q75" s="10">
        <f>IF(P75="None of the above",0,2)</f>
      </c>
      <c r="R75" s="7" t="s">
        <v>89</v>
      </c>
      <c r="S75" s="15" t="s">
        <v>48</v>
      </c>
      <c r="T75" s="7" t="s">
        <v>96</v>
      </c>
      <c r="U75" s="10">
        <f>IF(T75="Heavy physical",0,IF(T75="Moderate activity",1,2))</f>
      </c>
      <c r="V75" s="5" t="s">
        <v>44</v>
      </c>
      <c r="W75" s="10">
        <f>IF(V75="7–8 hours",0,IF(V75="6–7 hours",1,2))</f>
      </c>
      <c r="X75" s="7" t="s">
        <v>102</v>
      </c>
      <c r="Y75" s="7" t="s">
        <v>46</v>
      </c>
      <c r="Z75" s="7" t="s">
        <v>65</v>
      </c>
      <c r="AA75" s="7" t="s">
        <v>42</v>
      </c>
      <c r="AB75" s="7" t="s">
        <v>42</v>
      </c>
      <c r="AC75" s="7" t="s">
        <v>42</v>
      </c>
      <c r="AD75" s="10">
        <f>I75 + Q75 + U75 + W75</f>
      </c>
      <c r="AE75" s="10">
        <f>IF(AD75&lt;=2,0,IF(AD75&lt;=5,1,2))</f>
      </c>
      <c r="AF75" s="7"/>
    </row>
    <row x14ac:dyDescent="0.25" r="76" customHeight="1" ht="17.25" hidden="1">
      <c r="A76" s="7" t="s">
        <v>31</v>
      </c>
      <c r="B76" s="7" t="s">
        <v>66</v>
      </c>
      <c r="C76" s="7" t="s">
        <v>33</v>
      </c>
      <c r="D76" s="10">
        <v>8</v>
      </c>
      <c r="E76" s="7" t="s">
        <v>34</v>
      </c>
      <c r="F76" s="10">
        <v>199</v>
      </c>
      <c r="G76" s="11">
        <v>93</v>
      </c>
      <c r="H76" s="12">
        <f>G76/((F76/100)*(F76/100))</f>
      </c>
      <c r="I76" s="11">
        <f>IF(H76&lt;25,0,IF(H76&lt;30,1,2))</f>
      </c>
      <c r="J76" s="13">
        <v>2</v>
      </c>
      <c r="K76" s="7" t="s">
        <v>105</v>
      </c>
      <c r="L76" s="7" t="s">
        <v>146</v>
      </c>
      <c r="M76" s="7" t="s">
        <v>41</v>
      </c>
      <c r="N76" s="7" t="s">
        <v>38</v>
      </c>
      <c r="O76" s="7" t="s">
        <v>39</v>
      </c>
      <c r="P76" s="7" t="s">
        <v>40</v>
      </c>
      <c r="Q76" s="10">
        <f>IF(P76="None of the above",0,2)</f>
      </c>
      <c r="R76" s="15" t="s">
        <v>56</v>
      </c>
      <c r="S76" s="15" t="s">
        <v>48</v>
      </c>
      <c r="T76" s="7" t="s">
        <v>96</v>
      </c>
      <c r="U76" s="10">
        <f>IF(T76="Heavy physical",0,IF(T76="Moderate activity",1,2))</f>
      </c>
      <c r="V76" s="5" t="s">
        <v>57</v>
      </c>
      <c r="W76" s="10">
        <f>IF(V76="7–8 hours",0,IF(V76="6–7 hours",1,2))</f>
      </c>
      <c r="X76" s="7" t="s">
        <v>45</v>
      </c>
      <c r="Y76" s="7" t="s">
        <v>64</v>
      </c>
      <c r="Z76" s="7" t="s">
        <v>65</v>
      </c>
      <c r="AA76" s="7" t="s">
        <v>42</v>
      </c>
      <c r="AB76" s="7" t="s">
        <v>42</v>
      </c>
      <c r="AC76" s="7" t="s">
        <v>42</v>
      </c>
      <c r="AD76" s="10">
        <f>I76 + Q76 + U76 + W76</f>
      </c>
      <c r="AE76" s="10">
        <f>IF(AD76&lt;=2,0,IF(AD76&lt;=5,1,2))</f>
      </c>
      <c r="AF76" s="7"/>
    </row>
    <row x14ac:dyDescent="0.25" r="77" customHeight="1" ht="17.25" hidden="1">
      <c r="A77" s="7" t="s">
        <v>31</v>
      </c>
      <c r="B77" s="7" t="s">
        <v>77</v>
      </c>
      <c r="C77" s="7" t="s">
        <v>33</v>
      </c>
      <c r="D77" s="10">
        <v>6</v>
      </c>
      <c r="E77" s="7" t="s">
        <v>51</v>
      </c>
      <c r="F77" s="10">
        <v>183</v>
      </c>
      <c r="G77" s="11">
        <v>69</v>
      </c>
      <c r="H77" s="12">
        <f>G77/((F77/100)*(F77/100))</f>
      </c>
      <c r="I77" s="11">
        <f>IF(H77&lt;25,0,IF(H77&lt;30,1,2))</f>
      </c>
      <c r="J77" s="13">
        <v>2</v>
      </c>
      <c r="K77" s="7" t="s">
        <v>52</v>
      </c>
      <c r="L77" s="7" t="s">
        <v>147</v>
      </c>
      <c r="M77" s="7" t="s">
        <v>54</v>
      </c>
      <c r="N77" s="7" t="s">
        <v>38</v>
      </c>
      <c r="O77" s="7" t="s">
        <v>39</v>
      </c>
      <c r="P77" s="7" t="s">
        <v>55</v>
      </c>
      <c r="Q77" s="10">
        <f>IF(P77="None of the above",0,2)</f>
      </c>
      <c r="R77" s="15" t="s">
        <v>56</v>
      </c>
      <c r="S77" s="7" t="s">
        <v>42</v>
      </c>
      <c r="T77" s="7" t="s">
        <v>96</v>
      </c>
      <c r="U77" s="10">
        <f>IF(T77="Heavy physical",0,IF(T77="Moderate activity",1,2))</f>
      </c>
      <c r="V77" s="5" t="s">
        <v>97</v>
      </c>
      <c r="W77" s="10">
        <f>IF(V77="7–8 hours",0,IF(V77="6–7 hours",1,2))</f>
      </c>
      <c r="X77" s="7" t="s">
        <v>45</v>
      </c>
      <c r="Y77" s="7" t="s">
        <v>75</v>
      </c>
      <c r="Z77" s="7" t="s">
        <v>92</v>
      </c>
      <c r="AA77" s="7" t="s">
        <v>42</v>
      </c>
      <c r="AB77" s="7" t="s">
        <v>42</v>
      </c>
      <c r="AC77" s="7" t="s">
        <v>42</v>
      </c>
      <c r="AD77" s="10">
        <f>I77 + Q77 + U77 + W77</f>
      </c>
      <c r="AE77" s="10">
        <f>IF(AD77&lt;=2,0,IF(AD77&lt;=5,1,2))</f>
      </c>
      <c r="AF77" s="7"/>
    </row>
    <row x14ac:dyDescent="0.25" r="78" customHeight="1" ht="17.25" hidden="1">
      <c r="A78" s="7" t="s">
        <v>31</v>
      </c>
      <c r="B78" s="7" t="s">
        <v>77</v>
      </c>
      <c r="C78" s="7" t="s">
        <v>33</v>
      </c>
      <c r="D78" s="10">
        <v>6</v>
      </c>
      <c r="E78" s="7" t="s">
        <v>51</v>
      </c>
      <c r="F78" s="10">
        <v>148</v>
      </c>
      <c r="G78" s="11">
        <v>71</v>
      </c>
      <c r="H78" s="12">
        <f>G78/((F78/100)*(F78/100))</f>
      </c>
      <c r="I78" s="11">
        <f>IF(H78&lt;25,0,IF(H78&lt;30,1,2))</f>
      </c>
      <c r="J78" s="13">
        <v>3</v>
      </c>
      <c r="K78" s="7" t="s">
        <v>61</v>
      </c>
      <c r="L78" s="7" t="s">
        <v>129</v>
      </c>
      <c r="M78" s="7" t="s">
        <v>37</v>
      </c>
      <c r="N78" s="7" t="s">
        <v>38</v>
      </c>
      <c r="O78" s="7" t="s">
        <v>39</v>
      </c>
      <c r="P78" s="7" t="s">
        <v>81</v>
      </c>
      <c r="Q78" s="10">
        <f>IF(P78="None of the above",0,2)</f>
      </c>
      <c r="R78" s="7" t="s">
        <v>89</v>
      </c>
      <c r="S78" s="7" t="s">
        <v>42</v>
      </c>
      <c r="T78" s="7" t="s">
        <v>96</v>
      </c>
      <c r="U78" s="10">
        <f>IF(T78="Heavy physical",0,IF(T78="Moderate activity",1,2))</f>
      </c>
      <c r="V78" s="5" t="s">
        <v>69</v>
      </c>
      <c r="W78" s="10">
        <f>IF(V78="7–8 hours",0,IF(V78="6–7 hours",1,2))</f>
      </c>
      <c r="X78" s="7" t="s">
        <v>45</v>
      </c>
      <c r="Y78" s="7" t="s">
        <v>64</v>
      </c>
      <c r="Z78" s="7" t="s">
        <v>45</v>
      </c>
      <c r="AA78" s="7" t="s">
        <v>42</v>
      </c>
      <c r="AB78" s="7" t="s">
        <v>42</v>
      </c>
      <c r="AC78" s="7" t="s">
        <v>42</v>
      </c>
      <c r="AD78" s="10">
        <f>I78 + Q78 + U78 + W78</f>
      </c>
      <c r="AE78" s="10">
        <f>IF(AD78&lt;=2,0,IF(AD78&lt;=5,1,2))</f>
      </c>
      <c r="AF78" s="7"/>
    </row>
    <row x14ac:dyDescent="0.25" r="79" customHeight="1" ht="17.25" hidden="1">
      <c r="A79" s="7" t="s">
        <v>49</v>
      </c>
      <c r="B79" s="7" t="s">
        <v>84</v>
      </c>
      <c r="C79" s="7" t="s">
        <v>33</v>
      </c>
      <c r="D79" s="10">
        <v>1</v>
      </c>
      <c r="E79" s="7" t="s">
        <v>51</v>
      </c>
      <c r="F79" s="10">
        <v>186</v>
      </c>
      <c r="G79" s="11">
        <v>61</v>
      </c>
      <c r="H79" s="12">
        <f>G79/((F79/100)*(F79/100))</f>
      </c>
      <c r="I79" s="11">
        <f>IF(H79&lt;25,0,IF(H79&lt;30,1,2))</f>
      </c>
      <c r="J79" s="13">
        <v>1</v>
      </c>
      <c r="K79" s="7" t="s">
        <v>72</v>
      </c>
      <c r="L79" s="7" t="s">
        <v>108</v>
      </c>
      <c r="M79" s="7" t="s">
        <v>54</v>
      </c>
      <c r="N79" s="7" t="s">
        <v>38</v>
      </c>
      <c r="O79" s="7" t="s">
        <v>39</v>
      </c>
      <c r="P79" s="7" t="s">
        <v>40</v>
      </c>
      <c r="Q79" s="10">
        <f>IF(P79="None of the above",0,2)</f>
      </c>
      <c r="R79" s="15" t="s">
        <v>56</v>
      </c>
      <c r="S79" s="15" t="s">
        <v>48</v>
      </c>
      <c r="T79" s="7" t="s">
        <v>96</v>
      </c>
      <c r="U79" s="10">
        <f>IF(T79="Heavy physical",0,IF(T79="Moderate activity",1,2))</f>
      </c>
      <c r="V79" s="5" t="s">
        <v>44</v>
      </c>
      <c r="W79" s="10">
        <f>IF(V79="7–8 hours",0,IF(V79="6–7 hours",1,2))</f>
      </c>
      <c r="X79" s="7" t="s">
        <v>70</v>
      </c>
      <c r="Y79" s="7" t="s">
        <v>75</v>
      </c>
      <c r="Z79" s="7" t="s">
        <v>65</v>
      </c>
      <c r="AA79" s="7" t="s">
        <v>42</v>
      </c>
      <c r="AB79" s="7" t="s">
        <v>42</v>
      </c>
      <c r="AC79" s="7" t="s">
        <v>42</v>
      </c>
      <c r="AD79" s="10">
        <f>I79 + Q79 + U79 + W79</f>
      </c>
      <c r="AE79" s="10">
        <f>IF(AD79&lt;=2,0,IF(AD79&lt;=5,1,2))</f>
      </c>
      <c r="AF79" s="7"/>
    </row>
    <row x14ac:dyDescent="0.25" r="80" customHeight="1" ht="17.25" hidden="1">
      <c r="A80" s="7" t="s">
        <v>31</v>
      </c>
      <c r="B80" s="7" t="s">
        <v>71</v>
      </c>
      <c r="C80" s="7" t="s">
        <v>33</v>
      </c>
      <c r="D80" s="10">
        <v>2</v>
      </c>
      <c r="E80" s="7" t="s">
        <v>51</v>
      </c>
      <c r="F80" s="10">
        <v>166</v>
      </c>
      <c r="G80" s="11">
        <v>97</v>
      </c>
      <c r="H80" s="12">
        <f>G80/((F80/100)*(F80/100))</f>
      </c>
      <c r="I80" s="11">
        <f>IF(H80&lt;25,0,IF(H80&lt;30,1,2))</f>
      </c>
      <c r="J80" s="13">
        <v>1</v>
      </c>
      <c r="K80" s="7" t="s">
        <v>72</v>
      </c>
      <c r="L80" s="7" t="s">
        <v>143</v>
      </c>
      <c r="M80" s="7" t="s">
        <v>41</v>
      </c>
      <c r="N80" s="7" t="s">
        <v>38</v>
      </c>
      <c r="O80" s="7" t="s">
        <v>63</v>
      </c>
      <c r="P80" s="7" t="s">
        <v>81</v>
      </c>
      <c r="Q80" s="10">
        <f>IF(P80="None of the above",0,2)</f>
      </c>
      <c r="R80" s="7" t="s">
        <v>89</v>
      </c>
      <c r="S80" s="15" t="s">
        <v>48</v>
      </c>
      <c r="T80" s="7" t="s">
        <v>99</v>
      </c>
      <c r="U80" s="10">
        <f>IF(T80="Heavy physical",0,IF(T80="Moderate activity",1,2))</f>
      </c>
      <c r="V80" s="5" t="s">
        <v>57</v>
      </c>
      <c r="W80" s="10">
        <f>IF(V80="7–8 hours",0,IF(V80="6–7 hours",1,2))</f>
      </c>
      <c r="X80" s="7" t="s">
        <v>45</v>
      </c>
      <c r="Y80" s="7" t="s">
        <v>64</v>
      </c>
      <c r="Z80" s="7" t="s">
        <v>47</v>
      </c>
      <c r="AA80" s="7" t="s">
        <v>42</v>
      </c>
      <c r="AB80" s="7" t="s">
        <v>42</v>
      </c>
      <c r="AC80" s="7" t="s">
        <v>42</v>
      </c>
      <c r="AD80" s="10">
        <f>I80 + Q80 + U80 + W80</f>
      </c>
      <c r="AE80" s="10">
        <f>IF(AD80&lt;=2,0,IF(AD80&lt;=5,1,2))</f>
      </c>
      <c r="AF80" s="7"/>
    </row>
    <row x14ac:dyDescent="0.25" r="81" customHeight="1" ht="17.25" hidden="1">
      <c r="A81" s="7" t="s">
        <v>49</v>
      </c>
      <c r="B81" s="7" t="s">
        <v>84</v>
      </c>
      <c r="C81" s="7" t="s">
        <v>33</v>
      </c>
      <c r="D81" s="10">
        <v>6</v>
      </c>
      <c r="E81" s="7" t="s">
        <v>34</v>
      </c>
      <c r="F81" s="10">
        <v>146</v>
      </c>
      <c r="G81" s="11">
        <v>60</v>
      </c>
      <c r="H81" s="12">
        <f>G81/((F81/100)*(F81/100))</f>
      </c>
      <c r="I81" s="11">
        <f>IF(H81&lt;25,0,IF(H81&lt;30,1,2))</f>
      </c>
      <c r="J81" s="13">
        <v>1</v>
      </c>
      <c r="K81" s="7" t="s">
        <v>61</v>
      </c>
      <c r="L81" s="7" t="s">
        <v>148</v>
      </c>
      <c r="M81" s="7" t="s">
        <v>41</v>
      </c>
      <c r="N81" s="7" t="s">
        <v>38</v>
      </c>
      <c r="O81" s="7" t="s">
        <v>80</v>
      </c>
      <c r="P81" s="7" t="s">
        <v>81</v>
      </c>
      <c r="Q81" s="10">
        <f>IF(P81="None of the above",0,2)</f>
      </c>
      <c r="R81" s="7" t="s">
        <v>89</v>
      </c>
      <c r="S81" s="7" t="s">
        <v>42</v>
      </c>
      <c r="T81" s="7" t="s">
        <v>96</v>
      </c>
      <c r="U81" s="10">
        <f>IF(T81="Heavy physical",0,IF(T81="Moderate activity",1,2))</f>
      </c>
      <c r="V81" s="5" t="s">
        <v>97</v>
      </c>
      <c r="W81" s="10">
        <f>IF(V81="7–8 hours",0,IF(V81="6–7 hours",1,2))</f>
      </c>
      <c r="X81" s="7" t="s">
        <v>83</v>
      </c>
      <c r="Y81" s="7" t="s">
        <v>46</v>
      </c>
      <c r="Z81" s="7" t="s">
        <v>45</v>
      </c>
      <c r="AA81" s="7" t="s">
        <v>48</v>
      </c>
      <c r="AB81" s="7" t="s">
        <v>48</v>
      </c>
      <c r="AC81" s="7" t="s">
        <v>42</v>
      </c>
      <c r="AD81" s="10">
        <f>I81 + Q81 + U81 + W81</f>
      </c>
      <c r="AE81" s="10">
        <f>IF(AD81&lt;=2,0,IF(AD81&lt;=5,1,2))</f>
      </c>
      <c r="AF81" s="7"/>
    </row>
    <row x14ac:dyDescent="0.25" r="82" customHeight="1" ht="17.25" hidden="1">
      <c r="A82" s="7" t="s">
        <v>49</v>
      </c>
      <c r="B82" s="7" t="s">
        <v>59</v>
      </c>
      <c r="C82" s="7" t="s">
        <v>33</v>
      </c>
      <c r="D82" s="10">
        <v>7</v>
      </c>
      <c r="E82" s="7" t="s">
        <v>34</v>
      </c>
      <c r="F82" s="10">
        <v>148</v>
      </c>
      <c r="G82" s="11">
        <v>108</v>
      </c>
      <c r="H82" s="12">
        <f>G82/((F82/100)*(F82/100))</f>
      </c>
      <c r="I82" s="11">
        <f>IF(H82&lt;25,0,IF(H82&lt;30,1,2))</f>
      </c>
      <c r="J82" s="13">
        <v>2</v>
      </c>
      <c r="K82" s="7" t="s">
        <v>72</v>
      </c>
      <c r="L82" s="7" t="s">
        <v>129</v>
      </c>
      <c r="M82" s="7" t="s">
        <v>41</v>
      </c>
      <c r="N82" s="7" t="s">
        <v>38</v>
      </c>
      <c r="O82" s="7" t="s">
        <v>39</v>
      </c>
      <c r="P82" s="7" t="s">
        <v>81</v>
      </c>
      <c r="Q82" s="10">
        <f>IF(P82="None of the above",0,2)</f>
      </c>
      <c r="R82" s="7" t="s">
        <v>89</v>
      </c>
      <c r="S82" s="15" t="s">
        <v>48</v>
      </c>
      <c r="T82" s="7" t="s">
        <v>96</v>
      </c>
      <c r="U82" s="10">
        <f>IF(T82="Heavy physical",0,IF(T82="Moderate activity",1,2))</f>
      </c>
      <c r="V82" s="5" t="s">
        <v>97</v>
      </c>
      <c r="W82" s="10">
        <f>IF(V82="7–8 hours",0,IF(V82="6–7 hours",1,2))</f>
      </c>
      <c r="X82" s="7" t="s">
        <v>45</v>
      </c>
      <c r="Y82" s="7" t="s">
        <v>75</v>
      </c>
      <c r="Z82" s="7" t="s">
        <v>92</v>
      </c>
      <c r="AA82" s="7" t="s">
        <v>42</v>
      </c>
      <c r="AB82" s="7" t="s">
        <v>48</v>
      </c>
      <c r="AC82" s="7" t="s">
        <v>48</v>
      </c>
      <c r="AD82" s="10">
        <f>I82 + Q82 + U82 + W82</f>
      </c>
      <c r="AE82" s="10">
        <f>IF(AD82&lt;=2,0,IF(AD82&lt;=5,1,2))</f>
      </c>
      <c r="AF82" s="7"/>
    </row>
    <row x14ac:dyDescent="0.25" r="83" customHeight="1" ht="17.25" hidden="1">
      <c r="A83" s="7" t="s">
        <v>76</v>
      </c>
      <c r="B83" s="7" t="s">
        <v>84</v>
      </c>
      <c r="C83" s="7" t="s">
        <v>33</v>
      </c>
      <c r="D83" s="10">
        <v>2</v>
      </c>
      <c r="E83" s="7" t="s">
        <v>51</v>
      </c>
      <c r="F83" s="10">
        <v>184</v>
      </c>
      <c r="G83" s="11">
        <v>63</v>
      </c>
      <c r="H83" s="12">
        <f>G83/((F83/100)*(F83/100))</f>
      </c>
      <c r="I83" s="11">
        <f>IF(H83&lt;25,0,IF(H83&lt;30,1,2))</f>
      </c>
      <c r="J83" s="13">
        <v>2</v>
      </c>
      <c r="K83" s="7" t="s">
        <v>61</v>
      </c>
      <c r="L83" s="7" t="s">
        <v>108</v>
      </c>
      <c r="M83" s="7" t="s">
        <v>37</v>
      </c>
      <c r="N83" s="7" t="s">
        <v>38</v>
      </c>
      <c r="O83" s="7" t="s">
        <v>74</v>
      </c>
      <c r="P83" s="7" t="s">
        <v>40</v>
      </c>
      <c r="Q83" s="10">
        <f>IF(P83="None of the above",0,2)</f>
      </c>
      <c r="R83" s="7" t="s">
        <v>56</v>
      </c>
      <c r="S83" s="15" t="s">
        <v>48</v>
      </c>
      <c r="T83" s="7" t="s">
        <v>96</v>
      </c>
      <c r="U83" s="10">
        <f>IF(T83="Heavy physical",0,IF(T83="Moderate activity",1,2))</f>
      </c>
      <c r="V83" s="5" t="s">
        <v>57</v>
      </c>
      <c r="W83" s="10">
        <f>IF(V83="7–8 hours",0,IF(V83="6–7 hours",1,2))</f>
      </c>
      <c r="X83" s="7" t="s">
        <v>45</v>
      </c>
      <c r="Y83" s="7" t="s">
        <v>64</v>
      </c>
      <c r="Z83" s="7" t="s">
        <v>65</v>
      </c>
      <c r="AA83" s="7" t="s">
        <v>42</v>
      </c>
      <c r="AB83" s="7" t="s">
        <v>42</v>
      </c>
      <c r="AC83" s="7" t="s">
        <v>42</v>
      </c>
      <c r="AD83" s="10">
        <f>I83 + Q83 + U83 + W83</f>
      </c>
      <c r="AE83" s="10">
        <f>IF(AD83&lt;=2,0,IF(AD83&lt;=5,1,2))</f>
      </c>
      <c r="AF83" s="7"/>
    </row>
    <row x14ac:dyDescent="0.25" r="84" customHeight="1" ht="17.25" hidden="1">
      <c r="A84" s="7" t="s">
        <v>149</v>
      </c>
      <c r="B84" s="7" t="s">
        <v>77</v>
      </c>
      <c r="C84" s="7" t="s">
        <v>33</v>
      </c>
      <c r="D84" s="10">
        <v>6</v>
      </c>
      <c r="E84" s="7" t="s">
        <v>34</v>
      </c>
      <c r="F84" s="10">
        <v>168</v>
      </c>
      <c r="G84" s="11">
        <v>83</v>
      </c>
      <c r="H84" s="12">
        <f>G84/((F84/100)*(F84/100))</f>
      </c>
      <c r="I84" s="11">
        <f>IF(H84&lt;25,0,IF(H84&lt;30,1,2))</f>
      </c>
      <c r="J84" s="13">
        <v>1</v>
      </c>
      <c r="K84" s="7" t="s">
        <v>52</v>
      </c>
      <c r="L84" s="7" t="s">
        <v>150</v>
      </c>
      <c r="M84" s="7" t="s">
        <v>41</v>
      </c>
      <c r="N84" s="7" t="s">
        <v>38</v>
      </c>
      <c r="O84" s="7" t="s">
        <v>39</v>
      </c>
      <c r="P84" s="7" t="s">
        <v>132</v>
      </c>
      <c r="Q84" s="10">
        <f>IF(P84="None of the above",0,2)</f>
      </c>
      <c r="R84" s="7"/>
      <c r="S84" s="7" t="s">
        <v>42</v>
      </c>
      <c r="T84" s="7" t="s">
        <v>96</v>
      </c>
      <c r="U84" s="10">
        <f>IF(T84="Heavy physical",0,IF(T84="Moderate activity",1,2))</f>
      </c>
      <c r="V84" s="5" t="s">
        <v>57</v>
      </c>
      <c r="W84" s="10">
        <f>IF(V84="7–8 hours",0,IF(V84="6–7 hours",1,2))</f>
      </c>
      <c r="X84" s="7" t="s">
        <v>45</v>
      </c>
      <c r="Y84" s="7" t="s">
        <v>64</v>
      </c>
      <c r="Z84" s="7" t="s">
        <v>65</v>
      </c>
      <c r="AA84" s="7" t="s">
        <v>42</v>
      </c>
      <c r="AB84" s="7" t="s">
        <v>42</v>
      </c>
      <c r="AC84" s="7" t="s">
        <v>42</v>
      </c>
      <c r="AD84" s="10">
        <f>I84 + Q84 + U84 + W84</f>
      </c>
      <c r="AE84" s="10">
        <f>IF(AD84&lt;=2,0,IF(AD84&lt;=5,1,2))</f>
      </c>
      <c r="AF84" s="7"/>
    </row>
    <row x14ac:dyDescent="0.25" r="85" customHeight="1" ht="17.25" hidden="1">
      <c r="A85" s="7" t="s">
        <v>76</v>
      </c>
      <c r="B85" s="7" t="s">
        <v>77</v>
      </c>
      <c r="C85" s="7" t="s">
        <v>33</v>
      </c>
      <c r="D85" s="10">
        <v>6</v>
      </c>
      <c r="E85" s="7" t="s">
        <v>51</v>
      </c>
      <c r="F85" s="10">
        <v>173</v>
      </c>
      <c r="G85" s="11">
        <v>107</v>
      </c>
      <c r="H85" s="12">
        <f>G85/((F85/100)*(F85/100))</f>
      </c>
      <c r="I85" s="11">
        <f>IF(H85&lt;25,0,IF(H85&lt;30,1,2))</f>
      </c>
      <c r="J85" s="13">
        <v>2</v>
      </c>
      <c r="K85" s="7" t="s">
        <v>86</v>
      </c>
      <c r="L85" s="7" t="s">
        <v>151</v>
      </c>
      <c r="M85" s="7" t="s">
        <v>54</v>
      </c>
      <c r="N85" s="7" t="s">
        <v>38</v>
      </c>
      <c r="O85" s="7" t="s">
        <v>63</v>
      </c>
      <c r="P85" s="7" t="s">
        <v>81</v>
      </c>
      <c r="Q85" s="10">
        <f>IF(P85="None of the above",0,2)</f>
      </c>
      <c r="R85" s="7" t="s">
        <v>89</v>
      </c>
      <c r="S85" s="15" t="s">
        <v>48</v>
      </c>
      <c r="T85" s="7" t="s">
        <v>96</v>
      </c>
      <c r="U85" s="10">
        <f>IF(T85="Heavy physical",0,IF(T85="Moderate activity",1,2))</f>
      </c>
      <c r="V85" s="5" t="s">
        <v>97</v>
      </c>
      <c r="W85" s="10">
        <f>IF(V85="7–8 hours",0,IF(V85="6–7 hours",1,2))</f>
      </c>
      <c r="X85" s="7" t="s">
        <v>45</v>
      </c>
      <c r="Y85" s="7" t="s">
        <v>75</v>
      </c>
      <c r="Z85" s="7" t="s">
        <v>45</v>
      </c>
      <c r="AA85" s="7" t="s">
        <v>42</v>
      </c>
      <c r="AB85" s="7" t="s">
        <v>42</v>
      </c>
      <c r="AC85" s="7" t="s">
        <v>42</v>
      </c>
      <c r="AD85" s="10">
        <f>I85 + Q85 + U85 + W85</f>
      </c>
      <c r="AE85" s="10">
        <f>IF(AD85&lt;=2,0,IF(AD85&lt;=5,1,2))</f>
      </c>
      <c r="AF85" s="7"/>
    </row>
    <row x14ac:dyDescent="0.25" r="86" customHeight="1" ht="17.25" hidden="1">
      <c r="A86" s="7" t="s">
        <v>31</v>
      </c>
      <c r="B86" s="7" t="s">
        <v>71</v>
      </c>
      <c r="C86" s="7" t="s">
        <v>33</v>
      </c>
      <c r="D86" s="10">
        <v>3</v>
      </c>
      <c r="E86" s="7" t="s">
        <v>34</v>
      </c>
      <c r="F86" s="10">
        <v>187</v>
      </c>
      <c r="G86" s="11">
        <v>90</v>
      </c>
      <c r="H86" s="12">
        <f>G86/((F86/100)*(F86/100))</f>
      </c>
      <c r="I86" s="11">
        <f>IF(H86&lt;25,0,IF(H86&lt;30,1,2))</f>
      </c>
      <c r="J86" s="13">
        <v>3</v>
      </c>
      <c r="K86" s="7" t="s">
        <v>72</v>
      </c>
      <c r="L86" s="7" t="s">
        <v>98</v>
      </c>
      <c r="M86" s="7" t="s">
        <v>37</v>
      </c>
      <c r="N86" s="7" t="s">
        <v>38</v>
      </c>
      <c r="O86" s="7" t="s">
        <v>74</v>
      </c>
      <c r="P86" s="7" t="s">
        <v>55</v>
      </c>
      <c r="Q86" s="10">
        <f>IF(P86="None of the above",0,2)</f>
      </c>
      <c r="R86" s="15" t="s">
        <v>56</v>
      </c>
      <c r="S86" s="7" t="s">
        <v>42</v>
      </c>
      <c r="T86" s="7" t="s">
        <v>96</v>
      </c>
      <c r="U86" s="10">
        <f>IF(T86="Heavy physical",0,IF(T86="Moderate activity",1,2))</f>
      </c>
      <c r="V86" s="5" t="s">
        <v>97</v>
      </c>
      <c r="W86" s="10">
        <f>IF(V86="7–8 hours",0,IF(V86="6–7 hours",1,2))</f>
      </c>
      <c r="X86" s="7" t="s">
        <v>45</v>
      </c>
      <c r="Y86" s="7" t="s">
        <v>64</v>
      </c>
      <c r="Z86" s="7" t="s">
        <v>47</v>
      </c>
      <c r="AA86" s="7" t="s">
        <v>48</v>
      </c>
      <c r="AB86" s="7" t="s">
        <v>48</v>
      </c>
      <c r="AC86" s="7" t="s">
        <v>42</v>
      </c>
      <c r="AD86" s="10">
        <f>I86 + Q86 + U86 + W86</f>
      </c>
      <c r="AE86" s="10">
        <f>IF(AD86&lt;=2,0,IF(AD86&lt;=5,1,2))</f>
      </c>
      <c r="AF86" s="7"/>
    </row>
    <row x14ac:dyDescent="0.25" r="87" customHeight="1" ht="17.25" hidden="1">
      <c r="A87" s="7" t="s">
        <v>76</v>
      </c>
      <c r="B87" s="7" t="s">
        <v>77</v>
      </c>
      <c r="C87" s="16" t="s">
        <v>126</v>
      </c>
      <c r="D87" s="10">
        <v>1</v>
      </c>
      <c r="E87" s="7" t="s">
        <v>34</v>
      </c>
      <c r="F87" s="10">
        <v>162</v>
      </c>
      <c r="G87" s="11">
        <v>101</v>
      </c>
      <c r="H87" s="12">
        <f>G87/((F87/100)*(F87/100))</f>
      </c>
      <c r="I87" s="11">
        <f>IF(H87&lt;25,0,IF(H87&lt;30,1,2))</f>
      </c>
      <c r="J87" s="13">
        <v>3</v>
      </c>
      <c r="K87" s="7" t="s">
        <v>61</v>
      </c>
      <c r="L87" s="7" t="s">
        <v>108</v>
      </c>
      <c r="M87" s="7" t="s">
        <v>41</v>
      </c>
      <c r="N87" s="7" t="s">
        <v>38</v>
      </c>
      <c r="O87" s="7" t="s">
        <v>74</v>
      </c>
      <c r="P87" s="7" t="s">
        <v>40</v>
      </c>
      <c r="Q87" s="10">
        <f>IF(P87="None of the above",0,2)</f>
      </c>
      <c r="R87" s="15" t="s">
        <v>56</v>
      </c>
      <c r="S87" s="7" t="s">
        <v>42</v>
      </c>
      <c r="T87" s="7" t="s">
        <v>96</v>
      </c>
      <c r="U87" s="10">
        <f>IF(T87="Heavy physical",0,IF(T87="Moderate activity",1,2))</f>
      </c>
      <c r="V87" s="5" t="s">
        <v>57</v>
      </c>
      <c r="W87" s="10">
        <f>IF(V87="7–8 hours",0,IF(V87="6–7 hours",1,2))</f>
      </c>
      <c r="X87" s="7" t="s">
        <v>45</v>
      </c>
      <c r="Y87" s="7" t="s">
        <v>58</v>
      </c>
      <c r="Z87" s="7" t="s">
        <v>47</v>
      </c>
      <c r="AA87" s="7" t="s">
        <v>42</v>
      </c>
      <c r="AB87" s="7" t="s">
        <v>42</v>
      </c>
      <c r="AC87" s="7" t="s">
        <v>48</v>
      </c>
      <c r="AD87" s="10">
        <f>I87 + Q87 + U87 + W87</f>
      </c>
      <c r="AE87" s="10">
        <f>IF(AD87&lt;=2,0,IF(AD87&lt;=5,1,2))</f>
      </c>
      <c r="AF87" s="7"/>
    </row>
    <row x14ac:dyDescent="0.25" r="88" customHeight="1" ht="17.25" hidden="1">
      <c r="A88" s="7" t="s">
        <v>49</v>
      </c>
      <c r="B88" s="7" t="s">
        <v>84</v>
      </c>
      <c r="C88" s="7" t="s">
        <v>122</v>
      </c>
      <c r="D88" s="10">
        <v>4</v>
      </c>
      <c r="E88" s="7" t="s">
        <v>34</v>
      </c>
      <c r="F88" s="10">
        <v>190</v>
      </c>
      <c r="G88" s="11">
        <v>81</v>
      </c>
      <c r="H88" s="12">
        <f>G88/((F88/100)*(F88/100))</f>
      </c>
      <c r="I88" s="11">
        <f>IF(H88&lt;25,0,IF(H88&lt;30,1,2))</f>
      </c>
      <c r="J88" s="13">
        <v>1</v>
      </c>
      <c r="K88" s="7" t="s">
        <v>52</v>
      </c>
      <c r="L88" s="7" t="s">
        <v>152</v>
      </c>
      <c r="M88" s="7" t="s">
        <v>54</v>
      </c>
      <c r="N88" s="7" t="s">
        <v>38</v>
      </c>
      <c r="O88" s="7" t="s">
        <v>80</v>
      </c>
      <c r="P88" s="7" t="s">
        <v>81</v>
      </c>
      <c r="Q88" s="10">
        <f>IF(P88="None of the above",0,2)</f>
      </c>
      <c r="R88" s="7" t="s">
        <v>89</v>
      </c>
      <c r="S88" s="15" t="s">
        <v>48</v>
      </c>
      <c r="T88" s="7" t="s">
        <v>96</v>
      </c>
      <c r="U88" s="10">
        <f>IF(T88="Heavy physical",0,IF(T88="Moderate activity",1,2))</f>
      </c>
      <c r="V88" s="5" t="s">
        <v>69</v>
      </c>
      <c r="W88" s="10">
        <f>IF(V88="7–8 hours",0,IF(V88="6–7 hours",1,2))</f>
      </c>
      <c r="X88" s="7" t="s">
        <v>45</v>
      </c>
      <c r="Y88" s="7" t="s">
        <v>75</v>
      </c>
      <c r="Z88" s="7" t="s">
        <v>45</v>
      </c>
      <c r="AA88" s="7" t="s">
        <v>42</v>
      </c>
      <c r="AB88" s="7" t="s">
        <v>48</v>
      </c>
      <c r="AC88" s="7" t="s">
        <v>48</v>
      </c>
      <c r="AD88" s="10">
        <f>I88 + Q88 + U88 + W88</f>
      </c>
      <c r="AE88" s="10">
        <f>IF(AD88&lt;=2,0,IF(AD88&lt;=5,1,2))</f>
      </c>
      <c r="AF88" s="7"/>
    </row>
    <row x14ac:dyDescent="0.25" r="89" customHeight="1" ht="17.25" hidden="1">
      <c r="A89" s="7" t="s">
        <v>76</v>
      </c>
      <c r="B89" s="7" t="s">
        <v>32</v>
      </c>
      <c r="C89" s="7" t="s">
        <v>141</v>
      </c>
      <c r="D89" s="10">
        <v>5</v>
      </c>
      <c r="E89" s="7" t="s">
        <v>34</v>
      </c>
      <c r="F89" s="10">
        <v>158</v>
      </c>
      <c r="G89" s="11">
        <v>75</v>
      </c>
      <c r="H89" s="12">
        <f>G89/((F89/100)*(F89/100))</f>
      </c>
      <c r="I89" s="11">
        <f>IF(H89&lt;25,0,IF(H89&lt;30,1,2))</f>
      </c>
      <c r="J89" s="13">
        <v>2</v>
      </c>
      <c r="K89" s="7" t="s">
        <v>105</v>
      </c>
      <c r="L89" s="7" t="s">
        <v>146</v>
      </c>
      <c r="M89" s="7" t="s">
        <v>37</v>
      </c>
      <c r="N89" s="7" t="s">
        <v>38</v>
      </c>
      <c r="O89" s="7" t="s">
        <v>39</v>
      </c>
      <c r="P89" s="7" t="s">
        <v>81</v>
      </c>
      <c r="Q89" s="10">
        <f>IF(P89="None of the above",0,2)</f>
      </c>
      <c r="R89" s="7" t="s">
        <v>89</v>
      </c>
      <c r="S89" s="15" t="s">
        <v>48</v>
      </c>
      <c r="T89" s="7" t="s">
        <v>96</v>
      </c>
      <c r="U89" s="10">
        <f>IF(T89="Heavy physical",0,IF(T89="Moderate activity",1,2))</f>
      </c>
      <c r="V89" s="5" t="s">
        <v>44</v>
      </c>
      <c r="W89" s="10">
        <f>IF(V89="7–8 hours",0,IF(V89="6–7 hours",1,2))</f>
      </c>
      <c r="X89" s="7" t="s">
        <v>45</v>
      </c>
      <c r="Y89" s="7" t="s">
        <v>46</v>
      </c>
      <c r="Z89" s="7" t="s">
        <v>47</v>
      </c>
      <c r="AA89" s="7" t="s">
        <v>48</v>
      </c>
      <c r="AB89" s="7" t="s">
        <v>42</v>
      </c>
      <c r="AC89" s="7" t="s">
        <v>48</v>
      </c>
      <c r="AD89" s="10">
        <f>I89 + Q89 + U89 + W89</f>
      </c>
      <c r="AE89" s="10">
        <f>IF(AD89&lt;=2,0,IF(AD89&lt;=5,1,2))</f>
      </c>
      <c r="AF89" s="7"/>
    </row>
    <row x14ac:dyDescent="0.25" r="90" customHeight="1" ht="17.25" hidden="1">
      <c r="A90" s="7" t="s">
        <v>76</v>
      </c>
      <c r="B90" s="7" t="s">
        <v>84</v>
      </c>
      <c r="C90" s="16" t="s">
        <v>126</v>
      </c>
      <c r="D90" s="10">
        <v>4</v>
      </c>
      <c r="E90" s="7" t="s">
        <v>34</v>
      </c>
      <c r="F90" s="10">
        <v>161</v>
      </c>
      <c r="G90" s="11">
        <v>92</v>
      </c>
      <c r="H90" s="12">
        <f>G90/((F90/100)*(F90/100))</f>
      </c>
      <c r="I90" s="11">
        <f>IF(H90&lt;25,0,IF(H90&lt;30,1,2))</f>
      </c>
      <c r="J90" s="13">
        <v>3</v>
      </c>
      <c r="K90" s="7" t="s">
        <v>35</v>
      </c>
      <c r="L90" s="7" t="s">
        <v>129</v>
      </c>
      <c r="M90" s="7" t="s">
        <v>41</v>
      </c>
      <c r="N90" s="7" t="s">
        <v>38</v>
      </c>
      <c r="O90" s="7" t="s">
        <v>80</v>
      </c>
      <c r="P90" s="7" t="s">
        <v>40</v>
      </c>
      <c r="Q90" s="10">
        <f>IF(P90="None of the above",0,2)</f>
      </c>
      <c r="R90" s="15" t="s">
        <v>56</v>
      </c>
      <c r="S90" s="15" t="s">
        <v>48</v>
      </c>
      <c r="T90" s="7" t="s">
        <v>96</v>
      </c>
      <c r="U90" s="10">
        <f>IF(T90="Heavy physical",0,IF(T90="Moderate activity",1,2))</f>
      </c>
      <c r="V90" s="5" t="s">
        <v>69</v>
      </c>
      <c r="W90" s="10">
        <f>IF(V90="7–8 hours",0,IF(V90="6–7 hours",1,2))</f>
      </c>
      <c r="X90" s="7" t="s">
        <v>70</v>
      </c>
      <c r="Y90" s="7" t="s">
        <v>64</v>
      </c>
      <c r="Z90" s="7" t="s">
        <v>45</v>
      </c>
      <c r="AA90" s="7" t="s">
        <v>48</v>
      </c>
      <c r="AB90" s="7" t="s">
        <v>48</v>
      </c>
      <c r="AC90" s="7" t="s">
        <v>42</v>
      </c>
      <c r="AD90" s="10">
        <f>I90 + Q90 + U90 + W90</f>
      </c>
      <c r="AE90" s="10">
        <f>IF(AD90&lt;=2,0,IF(AD90&lt;=5,1,2))</f>
      </c>
      <c r="AF90" s="7"/>
    </row>
    <row x14ac:dyDescent="0.25" r="91" customHeight="1" ht="17.25" hidden="1">
      <c r="A91" s="7" t="s">
        <v>49</v>
      </c>
      <c r="B91" s="7" t="s">
        <v>71</v>
      </c>
      <c r="C91" s="7" t="s">
        <v>50</v>
      </c>
      <c r="D91" s="10">
        <v>2</v>
      </c>
      <c r="E91" s="7" t="s">
        <v>51</v>
      </c>
      <c r="F91" s="10">
        <v>182</v>
      </c>
      <c r="G91" s="11">
        <v>88</v>
      </c>
      <c r="H91" s="12">
        <f>G91/((F91/100)*(F91/100))</f>
      </c>
      <c r="I91" s="11">
        <f>IF(H91&lt;25,0,IF(H91&lt;30,1,2))</f>
      </c>
      <c r="J91" s="13">
        <v>1</v>
      </c>
      <c r="K91" s="7" t="s">
        <v>52</v>
      </c>
      <c r="L91" s="7" t="s">
        <v>153</v>
      </c>
      <c r="M91" s="7" t="s">
        <v>54</v>
      </c>
      <c r="N91" s="7" t="s">
        <v>38</v>
      </c>
      <c r="O91" s="7" t="s">
        <v>39</v>
      </c>
      <c r="P91" s="7" t="s">
        <v>81</v>
      </c>
      <c r="Q91" s="10">
        <f>IF(P91="None of the above",0,2)</f>
      </c>
      <c r="R91" s="7" t="s">
        <v>89</v>
      </c>
      <c r="S91" s="7" t="s">
        <v>42</v>
      </c>
      <c r="T91" s="7" t="s">
        <v>96</v>
      </c>
      <c r="U91" s="10">
        <f>IF(T91="Heavy physical",0,IF(T91="Moderate activity",1,2))</f>
      </c>
      <c r="V91" s="5" t="s">
        <v>44</v>
      </c>
      <c r="W91" s="10">
        <f>IF(V91="7–8 hours",0,IF(V91="6–7 hours",1,2))</f>
      </c>
      <c r="X91" s="7" t="s">
        <v>45</v>
      </c>
      <c r="Y91" s="7" t="s">
        <v>75</v>
      </c>
      <c r="Z91" s="7" t="s">
        <v>45</v>
      </c>
      <c r="AA91" s="7" t="s">
        <v>42</v>
      </c>
      <c r="AB91" s="7" t="s">
        <v>42</v>
      </c>
      <c r="AC91" s="7" t="s">
        <v>42</v>
      </c>
      <c r="AD91" s="10">
        <f>I91 + Q91 + U91 + W91</f>
      </c>
      <c r="AE91" s="10">
        <f>IF(AD91&lt;=2,0,IF(AD91&lt;=5,1,2))</f>
      </c>
      <c r="AF91" s="7"/>
    </row>
    <row x14ac:dyDescent="0.25" r="92" customHeight="1" ht="17.25" hidden="1">
      <c r="A92" s="7" t="s">
        <v>49</v>
      </c>
      <c r="B92" s="7" t="s">
        <v>71</v>
      </c>
      <c r="C92" s="7" t="s">
        <v>50</v>
      </c>
      <c r="D92" s="10">
        <v>1</v>
      </c>
      <c r="E92" s="7" t="s">
        <v>34</v>
      </c>
      <c r="F92" s="10">
        <v>176</v>
      </c>
      <c r="G92" s="11">
        <v>94</v>
      </c>
      <c r="H92" s="12">
        <f>G92/((F92/100)*(F92/100))</f>
      </c>
      <c r="I92" s="11">
        <f>IF(H92&lt;25,0,IF(H92&lt;30,1,2))</f>
      </c>
      <c r="J92" s="13">
        <v>2</v>
      </c>
      <c r="K92" s="7" t="s">
        <v>52</v>
      </c>
      <c r="L92" s="7" t="s">
        <v>154</v>
      </c>
      <c r="M92" s="7" t="s">
        <v>37</v>
      </c>
      <c r="N92" s="7" t="s">
        <v>38</v>
      </c>
      <c r="O92" s="7" t="s">
        <v>39</v>
      </c>
      <c r="P92" s="7" t="s">
        <v>132</v>
      </c>
      <c r="Q92" s="10">
        <f>IF(P92="None of the above",0,2)</f>
      </c>
      <c r="R92" s="15" t="s">
        <v>56</v>
      </c>
      <c r="S92" s="15" t="s">
        <v>48</v>
      </c>
      <c r="T92" s="7" t="s">
        <v>96</v>
      </c>
      <c r="U92" s="10">
        <f>IF(T92="Heavy physical",0,IF(T92="Moderate activity",1,2))</f>
      </c>
      <c r="V92" s="5" t="s">
        <v>57</v>
      </c>
      <c r="W92" s="10">
        <f>IF(V92="7–8 hours",0,IF(V92="6–7 hours",1,2))</f>
      </c>
      <c r="X92" s="7" t="s">
        <v>45</v>
      </c>
      <c r="Y92" s="7" t="s">
        <v>64</v>
      </c>
      <c r="Z92" s="7" t="s">
        <v>45</v>
      </c>
      <c r="AA92" s="7" t="s">
        <v>48</v>
      </c>
      <c r="AB92" s="7" t="s">
        <v>42</v>
      </c>
      <c r="AC92" s="7" t="s">
        <v>48</v>
      </c>
      <c r="AD92" s="10">
        <f>I92 + Q92 + U92 + W92</f>
      </c>
      <c r="AE92" s="10">
        <f>IF(AD92&lt;=2,0,IF(AD92&lt;=5,1,2))</f>
      </c>
      <c r="AF92" s="7"/>
    </row>
    <row x14ac:dyDescent="0.25" r="93" customHeight="1" ht="17.25" hidden="1">
      <c r="A93" s="7" t="s">
        <v>76</v>
      </c>
      <c r="B93" s="7" t="s">
        <v>84</v>
      </c>
      <c r="C93" s="7" t="s">
        <v>50</v>
      </c>
      <c r="D93" s="10">
        <v>8</v>
      </c>
      <c r="E93" s="7" t="s">
        <v>51</v>
      </c>
      <c r="F93" s="10">
        <v>170</v>
      </c>
      <c r="G93" s="11">
        <v>111</v>
      </c>
      <c r="H93" s="12">
        <f>G93/((F93/100)*(F93/100))</f>
      </c>
      <c r="I93" s="11">
        <f>IF(H93&lt;25,0,IF(H93&lt;30,1,2))</f>
      </c>
      <c r="J93" s="13">
        <v>1</v>
      </c>
      <c r="K93" s="7" t="s">
        <v>52</v>
      </c>
      <c r="L93" s="7" t="s">
        <v>143</v>
      </c>
      <c r="M93" s="7" t="s">
        <v>37</v>
      </c>
      <c r="N93" s="7" t="s">
        <v>38</v>
      </c>
      <c r="O93" s="7" t="s">
        <v>74</v>
      </c>
      <c r="P93" s="7" t="s">
        <v>40</v>
      </c>
      <c r="Q93" s="10">
        <f>IF(P93="None of the above",0,2)</f>
      </c>
      <c r="R93" s="7" t="s">
        <v>56</v>
      </c>
      <c r="S93" s="7" t="s">
        <v>42</v>
      </c>
      <c r="T93" s="7" t="s">
        <v>99</v>
      </c>
      <c r="U93" s="10">
        <f>IF(T93="Heavy physical",0,IF(T93="Moderate activity",1,2))</f>
      </c>
      <c r="V93" s="5" t="s">
        <v>57</v>
      </c>
      <c r="W93" s="10">
        <f>IF(V93="7–8 hours",0,IF(V93="6–7 hours",1,2))</f>
      </c>
      <c r="X93" s="7" t="s">
        <v>70</v>
      </c>
      <c r="Y93" s="7" t="s">
        <v>75</v>
      </c>
      <c r="Z93" s="7" t="s">
        <v>45</v>
      </c>
      <c r="AA93" s="7" t="s">
        <v>42</v>
      </c>
      <c r="AB93" s="7" t="s">
        <v>42</v>
      </c>
      <c r="AC93" s="7" t="s">
        <v>42</v>
      </c>
      <c r="AD93" s="10">
        <f>I93 + Q93 + U93 + W93</f>
      </c>
      <c r="AE93" s="10">
        <f>IF(AD93&lt;=2,0,IF(AD93&lt;=5,1,2))</f>
      </c>
      <c r="AF93" s="7"/>
    </row>
    <row x14ac:dyDescent="0.25" r="94" customHeight="1" ht="17.25" hidden="1">
      <c r="A94" s="7" t="s">
        <v>76</v>
      </c>
      <c r="B94" s="7" t="s">
        <v>71</v>
      </c>
      <c r="C94" s="7" t="s">
        <v>50</v>
      </c>
      <c r="D94" s="10">
        <v>2</v>
      </c>
      <c r="E94" s="7" t="s">
        <v>34</v>
      </c>
      <c r="F94" s="10">
        <v>142</v>
      </c>
      <c r="G94" s="11">
        <v>92</v>
      </c>
      <c r="H94" s="12">
        <f>G94/((F94/100)*(F94/100))</f>
      </c>
      <c r="I94" s="11">
        <f>IF(H94&lt;25,0,IF(H94&lt;30,1,2))</f>
      </c>
      <c r="J94" s="13">
        <v>3</v>
      </c>
      <c r="K94" s="7" t="s">
        <v>35</v>
      </c>
      <c r="L94" s="7" t="s">
        <v>36</v>
      </c>
      <c r="M94" s="7" t="s">
        <v>54</v>
      </c>
      <c r="N94" s="7" t="s">
        <v>38</v>
      </c>
      <c r="O94" s="7" t="s">
        <v>80</v>
      </c>
      <c r="P94" s="7" t="s">
        <v>55</v>
      </c>
      <c r="Q94" s="10">
        <f>IF(P94="None of the above",0,2)</f>
      </c>
      <c r="R94" s="15" t="s">
        <v>56</v>
      </c>
      <c r="S94" s="15" t="s">
        <v>48</v>
      </c>
      <c r="T94" s="7" t="s">
        <v>96</v>
      </c>
      <c r="U94" s="10">
        <f>IF(T94="Heavy physical",0,IF(T94="Moderate activity",1,2))</f>
      </c>
      <c r="V94" s="5" t="s">
        <v>57</v>
      </c>
      <c r="W94" s="10">
        <f>IF(V94="7–8 hours",0,IF(V94="6–7 hours",1,2))</f>
      </c>
      <c r="X94" s="7" t="s">
        <v>45</v>
      </c>
      <c r="Y94" s="7" t="s">
        <v>64</v>
      </c>
      <c r="Z94" s="7" t="s">
        <v>92</v>
      </c>
      <c r="AA94" s="7" t="s">
        <v>48</v>
      </c>
      <c r="AB94" s="7" t="s">
        <v>48</v>
      </c>
      <c r="AC94" s="7" t="s">
        <v>48</v>
      </c>
      <c r="AD94" s="10">
        <f>I94 + Q94 + U94 + W94</f>
      </c>
      <c r="AE94" s="10">
        <f>IF(AD94&lt;=2,0,IF(AD94&lt;=5,1,2))</f>
      </c>
      <c r="AF94" s="7"/>
    </row>
    <row x14ac:dyDescent="0.25" r="95" customHeight="1" ht="17.25" hidden="1">
      <c r="A95" s="7" t="s">
        <v>31</v>
      </c>
      <c r="B95" s="7" t="s">
        <v>71</v>
      </c>
      <c r="C95" s="7" t="s">
        <v>50</v>
      </c>
      <c r="D95" s="10">
        <v>4</v>
      </c>
      <c r="E95" s="7" t="s">
        <v>34</v>
      </c>
      <c r="F95" s="10">
        <v>198</v>
      </c>
      <c r="G95" s="11">
        <v>120</v>
      </c>
      <c r="H95" s="12">
        <f>G95/((F95/100)*(F95/100))</f>
      </c>
      <c r="I95" s="11">
        <f>IF(H95&lt;25,0,IF(H95&lt;30,1,2))</f>
      </c>
      <c r="J95" s="13">
        <v>3</v>
      </c>
      <c r="K95" s="7" t="s">
        <v>105</v>
      </c>
      <c r="L95" s="7" t="s">
        <v>147</v>
      </c>
      <c r="M95" s="7" t="s">
        <v>37</v>
      </c>
      <c r="N95" s="7" t="s">
        <v>38</v>
      </c>
      <c r="O95" s="7" t="s">
        <v>68</v>
      </c>
      <c r="P95" s="7" t="s">
        <v>81</v>
      </c>
      <c r="Q95" s="10">
        <f>IF(P95="None of the above",0,2)</f>
      </c>
      <c r="R95" s="7" t="s">
        <v>89</v>
      </c>
      <c r="S95" s="15" t="s">
        <v>48</v>
      </c>
      <c r="T95" s="7" t="s">
        <v>96</v>
      </c>
      <c r="U95" s="10">
        <f>IF(T95="Heavy physical",0,IF(T95="Moderate activity",1,2))</f>
      </c>
      <c r="V95" s="5" t="s">
        <v>57</v>
      </c>
      <c r="W95" s="10">
        <f>IF(V95="7–8 hours",0,IF(V95="6–7 hours",1,2))</f>
      </c>
      <c r="X95" s="7" t="s">
        <v>45</v>
      </c>
      <c r="Y95" s="7" t="s">
        <v>75</v>
      </c>
      <c r="Z95" s="7" t="s">
        <v>45</v>
      </c>
      <c r="AA95" s="7" t="s">
        <v>48</v>
      </c>
      <c r="AB95" s="7" t="s">
        <v>42</v>
      </c>
      <c r="AC95" s="7" t="s">
        <v>48</v>
      </c>
      <c r="AD95" s="10">
        <f>I95 + Q95 + U95 + W95</f>
      </c>
      <c r="AE95" s="10">
        <f>IF(AD95&lt;=2,0,IF(AD95&lt;=5,1,2))</f>
      </c>
      <c r="AF95" s="7"/>
    </row>
    <row x14ac:dyDescent="0.25" r="96" customHeight="1" ht="17.25" hidden="1">
      <c r="A96" s="7" t="s">
        <v>31</v>
      </c>
      <c r="B96" s="7" t="s">
        <v>32</v>
      </c>
      <c r="C96" s="7" t="s">
        <v>141</v>
      </c>
      <c r="D96" s="10">
        <v>3</v>
      </c>
      <c r="E96" s="7" t="s">
        <v>51</v>
      </c>
      <c r="F96" s="10">
        <v>177</v>
      </c>
      <c r="G96" s="11">
        <v>67</v>
      </c>
      <c r="H96" s="12">
        <f>G96/((F96/100)*(F96/100))</f>
      </c>
      <c r="I96" s="11">
        <f>IF(H96&lt;25,0,IF(H96&lt;30,1,2))</f>
      </c>
      <c r="J96" s="13">
        <v>2</v>
      </c>
      <c r="K96" s="7" t="s">
        <v>72</v>
      </c>
      <c r="L96" s="7" t="s">
        <v>155</v>
      </c>
      <c r="M96" s="7" t="s">
        <v>41</v>
      </c>
      <c r="N96" s="7" t="s">
        <v>38</v>
      </c>
      <c r="O96" s="7" t="s">
        <v>68</v>
      </c>
      <c r="P96" s="7" t="s">
        <v>132</v>
      </c>
      <c r="Q96" s="10">
        <f>IF(P96="None of the above",0,2)</f>
      </c>
      <c r="R96" s="15" t="s">
        <v>56</v>
      </c>
      <c r="S96" s="7" t="s">
        <v>42</v>
      </c>
      <c r="T96" s="7" t="s">
        <v>96</v>
      </c>
      <c r="U96" s="10">
        <f>IF(T96="Heavy physical",0,IF(T96="Moderate activity",1,2))</f>
      </c>
      <c r="V96" s="5" t="s">
        <v>97</v>
      </c>
      <c r="W96" s="10">
        <f>IF(V96="7–8 hours",0,IF(V96="6–7 hours",1,2))</f>
      </c>
      <c r="X96" s="7" t="s">
        <v>70</v>
      </c>
      <c r="Y96" s="7" t="s">
        <v>46</v>
      </c>
      <c r="Z96" s="7" t="s">
        <v>47</v>
      </c>
      <c r="AA96" s="7" t="s">
        <v>42</v>
      </c>
      <c r="AB96" s="7" t="s">
        <v>42</v>
      </c>
      <c r="AC96" s="7" t="s">
        <v>42</v>
      </c>
      <c r="AD96" s="10">
        <f>I96 + Q96 + U96 + W96</f>
      </c>
      <c r="AE96" s="10">
        <f>IF(AD96&lt;=2,0,IF(AD96&lt;=5,1,2))</f>
      </c>
      <c r="AF96" s="7"/>
    </row>
    <row x14ac:dyDescent="0.25" r="97" customHeight="1" ht="17.25" hidden="1">
      <c r="A97" s="7" t="s">
        <v>49</v>
      </c>
      <c r="B97" s="7" t="s">
        <v>84</v>
      </c>
      <c r="C97" s="7" t="s">
        <v>33</v>
      </c>
      <c r="D97" s="10">
        <v>2</v>
      </c>
      <c r="E97" s="7" t="s">
        <v>34</v>
      </c>
      <c r="F97" s="10">
        <v>150</v>
      </c>
      <c r="G97" s="11">
        <v>95</v>
      </c>
      <c r="H97" s="12">
        <f>G97/((F97/100)*(F97/100))</f>
      </c>
      <c r="I97" s="11">
        <f>IF(H97&lt;25,0,IF(H97&lt;30,1,2))</f>
      </c>
      <c r="J97" s="13">
        <v>3</v>
      </c>
      <c r="K97" s="7" t="s">
        <v>35</v>
      </c>
      <c r="L97" s="7" t="s">
        <v>152</v>
      </c>
      <c r="M97" s="7" t="s">
        <v>54</v>
      </c>
      <c r="N97" s="7" t="s">
        <v>38</v>
      </c>
      <c r="O97" s="7" t="s">
        <v>74</v>
      </c>
      <c r="P97" s="7" t="s">
        <v>81</v>
      </c>
      <c r="Q97" s="10">
        <f>IF(P97="None of the above",0,2)</f>
      </c>
      <c r="R97" s="7" t="s">
        <v>89</v>
      </c>
      <c r="S97" s="15" t="s">
        <v>48</v>
      </c>
      <c r="T97" s="7" t="s">
        <v>96</v>
      </c>
      <c r="U97" s="10">
        <f>IF(T97="Heavy physical",0,IF(T97="Moderate activity",1,2))</f>
      </c>
      <c r="V97" s="5" t="s">
        <v>44</v>
      </c>
      <c r="W97" s="10">
        <f>IF(V97="7–8 hours",0,IF(V97="6–7 hours",1,2))</f>
      </c>
      <c r="X97" s="7" t="s">
        <v>45</v>
      </c>
      <c r="Y97" s="7" t="s">
        <v>64</v>
      </c>
      <c r="Z97" s="7" t="s">
        <v>65</v>
      </c>
      <c r="AA97" s="7" t="s">
        <v>42</v>
      </c>
      <c r="AB97" s="7" t="s">
        <v>42</v>
      </c>
      <c r="AC97" s="7" t="s">
        <v>42</v>
      </c>
      <c r="AD97" s="10">
        <f>I97 + Q97 + U97 + W97</f>
      </c>
      <c r="AE97" s="10">
        <f>IF(AD97&lt;=2,0,IF(AD97&lt;=5,1,2))</f>
      </c>
      <c r="AF97" s="7"/>
    </row>
    <row x14ac:dyDescent="0.25" r="98" customHeight="1" ht="17.25" hidden="1">
      <c r="A98" s="7" t="s">
        <v>49</v>
      </c>
      <c r="B98" s="7" t="s">
        <v>66</v>
      </c>
      <c r="C98" s="7" t="s">
        <v>141</v>
      </c>
      <c r="D98" s="10">
        <v>3</v>
      </c>
      <c r="E98" s="7" t="s">
        <v>51</v>
      </c>
      <c r="F98" s="10">
        <v>175</v>
      </c>
      <c r="G98" s="11">
        <v>88</v>
      </c>
      <c r="H98" s="12">
        <f>G98/((F98/100)*(F98/100))</f>
      </c>
      <c r="I98" s="11">
        <f>IF(H98&lt;25,0,IF(H98&lt;30,1,2))</f>
      </c>
      <c r="J98" s="13">
        <v>3</v>
      </c>
      <c r="K98" s="7" t="s">
        <v>72</v>
      </c>
      <c r="L98" s="7" t="s">
        <v>156</v>
      </c>
      <c r="M98" s="7" t="s">
        <v>41</v>
      </c>
      <c r="N98" s="7" t="s">
        <v>38</v>
      </c>
      <c r="O98" s="7" t="s">
        <v>80</v>
      </c>
      <c r="P98" s="7" t="s">
        <v>55</v>
      </c>
      <c r="Q98" s="10">
        <f>IF(P98="None of the above",0,2)</f>
      </c>
      <c r="R98" s="7" t="s">
        <v>41</v>
      </c>
      <c r="S98" s="7" t="s">
        <v>42</v>
      </c>
      <c r="T98" s="7" t="s">
        <v>96</v>
      </c>
      <c r="U98" s="10">
        <f>IF(T98="Heavy physical",0,IF(T98="Moderate activity",1,2))</f>
      </c>
      <c r="V98" s="5" t="s">
        <v>44</v>
      </c>
      <c r="W98" s="10">
        <f>IF(V98="7–8 hours",0,IF(V98="6–7 hours",1,2))</f>
      </c>
      <c r="X98" s="7" t="s">
        <v>45</v>
      </c>
      <c r="Y98" s="7" t="s">
        <v>75</v>
      </c>
      <c r="Z98" s="7" t="s">
        <v>45</v>
      </c>
      <c r="AA98" s="7" t="s">
        <v>42</v>
      </c>
      <c r="AB98" s="7" t="s">
        <v>42</v>
      </c>
      <c r="AC98" s="7" t="s">
        <v>42</v>
      </c>
      <c r="AD98" s="10">
        <f>I98 + Q98 + U98 + W98</f>
      </c>
      <c r="AE98" s="10">
        <f>IF(AD98&lt;=2,0,IF(AD98&lt;=5,1,2))</f>
      </c>
      <c r="AF98" s="7"/>
    </row>
    <row x14ac:dyDescent="0.25" r="99" customHeight="1" ht="17.25" hidden="1">
      <c r="A99" s="7" t="s">
        <v>49</v>
      </c>
      <c r="B99" s="7" t="s">
        <v>84</v>
      </c>
      <c r="C99" s="7" t="s">
        <v>50</v>
      </c>
      <c r="D99" s="10">
        <v>4</v>
      </c>
      <c r="E99" s="7" t="s">
        <v>34</v>
      </c>
      <c r="F99" s="10">
        <v>149</v>
      </c>
      <c r="G99" s="11">
        <v>67</v>
      </c>
      <c r="H99" s="12">
        <f>G99/((F99/100)*(F99/100))</f>
      </c>
      <c r="I99" s="11">
        <f>IF(H99&lt;25,0,IF(H99&lt;30,1,2))</f>
      </c>
      <c r="J99" s="13">
        <v>3</v>
      </c>
      <c r="K99" s="7" t="s">
        <v>52</v>
      </c>
      <c r="L99" s="7" t="s">
        <v>147</v>
      </c>
      <c r="M99" s="7" t="s">
        <v>37</v>
      </c>
      <c r="N99" s="7" t="s">
        <v>38</v>
      </c>
      <c r="O99" s="7" t="s">
        <v>74</v>
      </c>
      <c r="P99" s="7" t="s">
        <v>40</v>
      </c>
      <c r="Q99" s="10">
        <f>IF(P99="None of the above",0,2)</f>
      </c>
      <c r="R99" s="7" t="s">
        <v>56</v>
      </c>
      <c r="S99" s="15" t="s">
        <v>48</v>
      </c>
      <c r="T99" s="7" t="s">
        <v>96</v>
      </c>
      <c r="U99" s="10">
        <f>IF(T99="Heavy physical",0,IF(T99="Moderate activity",1,2))</f>
      </c>
      <c r="V99" s="5" t="s">
        <v>57</v>
      </c>
      <c r="W99" s="10">
        <f>IF(V99="7–8 hours",0,IF(V99="6–7 hours",1,2))</f>
      </c>
      <c r="X99" s="7" t="s">
        <v>45</v>
      </c>
      <c r="Y99" s="7" t="s">
        <v>46</v>
      </c>
      <c r="Z99" s="7" t="s">
        <v>45</v>
      </c>
      <c r="AA99" s="7" t="s">
        <v>48</v>
      </c>
      <c r="AB99" s="7" t="s">
        <v>42</v>
      </c>
      <c r="AC99" s="7" t="s">
        <v>42</v>
      </c>
      <c r="AD99" s="10">
        <f>I99 + Q99 + U99 + W99</f>
      </c>
      <c r="AE99" s="10">
        <f>IF(AD99&lt;=2,0,IF(AD99&lt;=5,1,2))</f>
      </c>
      <c r="AF99" s="7"/>
    </row>
    <row x14ac:dyDescent="0.25" r="100" customHeight="1" ht="17.25" hidden="1">
      <c r="A100" s="7" t="s">
        <v>31</v>
      </c>
      <c r="B100" s="7" t="s">
        <v>93</v>
      </c>
      <c r="C100" s="7" t="s">
        <v>122</v>
      </c>
      <c r="D100" s="10">
        <v>7</v>
      </c>
      <c r="E100" s="7" t="s">
        <v>34</v>
      </c>
      <c r="F100" s="10">
        <v>190</v>
      </c>
      <c r="G100" s="11">
        <v>77</v>
      </c>
      <c r="H100" s="12">
        <f>G100/((F100/100)*(F100/100))</f>
      </c>
      <c r="I100" s="11">
        <f>IF(H100&lt;25,0,IF(H100&lt;30,1,2))</f>
      </c>
      <c r="J100" s="13">
        <v>3</v>
      </c>
      <c r="K100" s="7" t="s">
        <v>105</v>
      </c>
      <c r="L100" s="7" t="s">
        <v>147</v>
      </c>
      <c r="M100" s="7" t="s">
        <v>37</v>
      </c>
      <c r="N100" s="7" t="s">
        <v>38</v>
      </c>
      <c r="O100" s="7" t="s">
        <v>68</v>
      </c>
      <c r="P100" s="7" t="s">
        <v>81</v>
      </c>
      <c r="Q100" s="10">
        <f>IF(P100="None of the above",0,2)</f>
      </c>
      <c r="R100" s="7" t="s">
        <v>89</v>
      </c>
      <c r="S100" s="7" t="s">
        <v>42</v>
      </c>
      <c r="T100" s="7" t="s">
        <v>96</v>
      </c>
      <c r="U100" s="10">
        <f>IF(T100="Heavy physical",0,IF(T100="Moderate activity",1,2))</f>
      </c>
      <c r="V100" s="5" t="s">
        <v>69</v>
      </c>
      <c r="W100" s="10">
        <f>IF(V100="7–8 hours",0,IF(V100="6–7 hours",1,2))</f>
      </c>
      <c r="X100" s="15" t="s">
        <v>45</v>
      </c>
      <c r="Y100" s="7" t="s">
        <v>64</v>
      </c>
      <c r="Z100" s="7" t="s">
        <v>47</v>
      </c>
      <c r="AA100" s="7" t="s">
        <v>42</v>
      </c>
      <c r="AB100" s="7" t="s">
        <v>48</v>
      </c>
      <c r="AC100" s="7" t="s">
        <v>42</v>
      </c>
      <c r="AD100" s="10">
        <f>I100 + Q100 + U100 + W100</f>
      </c>
      <c r="AE100" s="10">
        <f>IF(AD100&lt;=2,0,IF(AD100&lt;=5,1,2))</f>
      </c>
      <c r="AF100" s="7"/>
    </row>
    <row x14ac:dyDescent="0.25" r="101" customHeight="1" ht="17.25" hidden="1">
      <c r="A101" s="7" t="s">
        <v>76</v>
      </c>
      <c r="B101" s="7" t="s">
        <v>66</v>
      </c>
      <c r="C101" s="7" t="s">
        <v>33</v>
      </c>
      <c r="D101" s="10">
        <v>1</v>
      </c>
      <c r="E101" s="7" t="s">
        <v>51</v>
      </c>
      <c r="F101" s="10">
        <v>162</v>
      </c>
      <c r="G101" s="11">
        <v>102</v>
      </c>
      <c r="H101" s="12">
        <f>G101/((F101/100)*(F101/100))</f>
      </c>
      <c r="I101" s="11">
        <f>IF(H101&lt;25,0,IF(H101&lt;30,1,2))</f>
      </c>
      <c r="J101" s="13">
        <v>2</v>
      </c>
      <c r="K101" s="7" t="s">
        <v>52</v>
      </c>
      <c r="L101" s="7" t="s">
        <v>152</v>
      </c>
      <c r="M101" s="7" t="s">
        <v>37</v>
      </c>
      <c r="N101" s="7" t="s">
        <v>38</v>
      </c>
      <c r="O101" s="7" t="s">
        <v>68</v>
      </c>
      <c r="P101" s="7" t="s">
        <v>81</v>
      </c>
      <c r="Q101" s="10">
        <f>IF(P101="None of the above",0,2)</f>
      </c>
      <c r="R101" s="7" t="s">
        <v>89</v>
      </c>
      <c r="S101" s="15" t="s">
        <v>48</v>
      </c>
      <c r="T101" s="7" t="s">
        <v>96</v>
      </c>
      <c r="U101" s="10">
        <f>IF(T101="Heavy physical",0,IF(T101="Moderate activity",1,2))</f>
      </c>
      <c r="V101" s="5" t="s">
        <v>97</v>
      </c>
      <c r="W101" s="10">
        <f>IF(V101="7–8 hours",0,IF(V101="6–7 hours",1,2))</f>
      </c>
      <c r="X101" s="7" t="s">
        <v>45</v>
      </c>
      <c r="Y101" s="7" t="s">
        <v>46</v>
      </c>
      <c r="Z101" s="7" t="s">
        <v>92</v>
      </c>
      <c r="AA101" s="7" t="s">
        <v>42</v>
      </c>
      <c r="AB101" s="7" t="s">
        <v>42</v>
      </c>
      <c r="AC101" s="7" t="s">
        <v>42</v>
      </c>
      <c r="AD101" s="10">
        <f>I101 + Q101 + U101 + W101</f>
      </c>
      <c r="AE101" s="10">
        <f>IF(AD101&lt;=2,0,IF(AD101&lt;=5,1,2))</f>
      </c>
      <c r="AF101" s="7"/>
    </row>
    <row x14ac:dyDescent="0.25" r="102" customHeight="1" ht="17.25" hidden="1">
      <c r="A102" s="7" t="s">
        <v>76</v>
      </c>
      <c r="B102" s="7" t="s">
        <v>71</v>
      </c>
      <c r="C102" s="7"/>
      <c r="D102" s="10">
        <v>5</v>
      </c>
      <c r="E102" s="7" t="s">
        <v>51</v>
      </c>
      <c r="F102" s="10">
        <v>160</v>
      </c>
      <c r="G102" s="11">
        <v>77</v>
      </c>
      <c r="H102" s="12">
        <f>G102/((F102/100)*(F102/100))</f>
      </c>
      <c r="I102" s="11">
        <f>IF(H102&lt;25,0,IF(H102&lt;30,1,2))</f>
      </c>
      <c r="J102" s="13">
        <v>3</v>
      </c>
      <c r="K102" s="7" t="s">
        <v>72</v>
      </c>
      <c r="L102" s="7" t="s">
        <v>91</v>
      </c>
      <c r="M102" s="7" t="s">
        <v>37</v>
      </c>
      <c r="N102" s="7" t="s">
        <v>38</v>
      </c>
      <c r="O102" s="7" t="s">
        <v>80</v>
      </c>
      <c r="P102" s="7" t="s">
        <v>40</v>
      </c>
      <c r="Q102" s="10">
        <f>IF(P102="None of the above",0,2)</f>
      </c>
      <c r="R102" s="15" t="s">
        <v>56</v>
      </c>
      <c r="S102" s="7" t="s">
        <v>42</v>
      </c>
      <c r="T102" s="7" t="s">
        <v>99</v>
      </c>
      <c r="U102" s="10">
        <f>IF(T102="Heavy physical",0,IF(T102="Moderate activity",1,2))</f>
      </c>
      <c r="V102" s="5" t="s">
        <v>57</v>
      </c>
      <c r="W102" s="10">
        <f>IF(V102="7–8 hours",0,IF(V102="6–7 hours",1,2))</f>
      </c>
      <c r="X102" s="7" t="s">
        <v>70</v>
      </c>
      <c r="Y102" s="7" t="s">
        <v>75</v>
      </c>
      <c r="Z102" s="7" t="s">
        <v>47</v>
      </c>
      <c r="AA102" s="7" t="s">
        <v>42</v>
      </c>
      <c r="AB102" s="7" t="s">
        <v>42</v>
      </c>
      <c r="AC102" s="7" t="s">
        <v>42</v>
      </c>
      <c r="AD102" s="10">
        <f>I102 + Q102 + U102 + W102</f>
      </c>
      <c r="AE102" s="10">
        <f>IF(AD102&lt;=2,0,IF(AD102&lt;=5,1,2))</f>
      </c>
      <c r="AF102" s="7"/>
    </row>
    <row x14ac:dyDescent="0.25" r="103" customHeight="1" ht="17.25" hidden="1">
      <c r="A103" s="7" t="s">
        <v>49</v>
      </c>
      <c r="B103" s="7" t="s">
        <v>59</v>
      </c>
      <c r="C103" s="7" t="s">
        <v>50</v>
      </c>
      <c r="D103" s="10">
        <v>8</v>
      </c>
      <c r="E103" s="7" t="s">
        <v>34</v>
      </c>
      <c r="F103" s="10">
        <v>148</v>
      </c>
      <c r="G103" s="11">
        <v>72</v>
      </c>
      <c r="H103" s="12">
        <f>G103/((F103/100)*(F103/100))</f>
      </c>
      <c r="I103" s="11">
        <f>IF(H103&lt;25,0,IF(H103&lt;30,1,2))</f>
      </c>
      <c r="J103" s="13">
        <v>3</v>
      </c>
      <c r="K103" s="7" t="s">
        <v>72</v>
      </c>
      <c r="L103" s="7" t="s">
        <v>148</v>
      </c>
      <c r="M103" s="7" t="s">
        <v>37</v>
      </c>
      <c r="N103" s="7" t="s">
        <v>38</v>
      </c>
      <c r="O103" s="7" t="s">
        <v>39</v>
      </c>
      <c r="P103" s="7" t="s">
        <v>81</v>
      </c>
      <c r="Q103" s="10">
        <f>IF(P103="None of the above",0,2)</f>
      </c>
      <c r="R103" s="7" t="s">
        <v>89</v>
      </c>
      <c r="S103" s="15" t="s">
        <v>48</v>
      </c>
      <c r="T103" s="7" t="s">
        <v>96</v>
      </c>
      <c r="U103" s="10">
        <f>IF(T103="Heavy physical",0,IF(T103="Moderate activity",1,2))</f>
      </c>
      <c r="V103" s="5" t="s">
        <v>44</v>
      </c>
      <c r="W103" s="10">
        <f>IF(V103="7–8 hours",0,IF(V103="6–7 hours",1,2))</f>
      </c>
      <c r="X103" s="7" t="s">
        <v>45</v>
      </c>
      <c r="Y103" s="7" t="s">
        <v>64</v>
      </c>
      <c r="Z103" s="7" t="s">
        <v>47</v>
      </c>
      <c r="AA103" s="7" t="s">
        <v>48</v>
      </c>
      <c r="AB103" s="7" t="s">
        <v>42</v>
      </c>
      <c r="AC103" s="7" t="s">
        <v>42</v>
      </c>
      <c r="AD103" s="10">
        <f>I103 + Q103 + U103 + W103</f>
      </c>
      <c r="AE103" s="10">
        <f>IF(AD103&lt;=2,0,IF(AD103&lt;=5,1,2))</f>
      </c>
      <c r="AF103" s="7"/>
    </row>
    <row x14ac:dyDescent="0.25" r="104" customHeight="1" ht="17.25" hidden="1">
      <c r="A104" s="7" t="s">
        <v>31</v>
      </c>
      <c r="B104" s="7" t="s">
        <v>71</v>
      </c>
      <c r="C104" s="16" t="s">
        <v>126</v>
      </c>
      <c r="D104" s="10">
        <v>4</v>
      </c>
      <c r="E104" s="7" t="s">
        <v>51</v>
      </c>
      <c r="F104" s="10">
        <v>179</v>
      </c>
      <c r="G104" s="11">
        <v>98</v>
      </c>
      <c r="H104" s="12">
        <f>G104/((F104/100)*(F104/100))</f>
      </c>
      <c r="I104" s="11">
        <f>IF(H104&lt;25,0,IF(H104&lt;30,1,2))</f>
      </c>
      <c r="J104" s="13">
        <v>3</v>
      </c>
      <c r="K104" s="7" t="s">
        <v>72</v>
      </c>
      <c r="L104" s="7" t="s">
        <v>87</v>
      </c>
      <c r="M104" s="7" t="s">
        <v>37</v>
      </c>
      <c r="N104" s="7" t="s">
        <v>38</v>
      </c>
      <c r="O104" s="7" t="s">
        <v>74</v>
      </c>
      <c r="P104" s="7" t="s">
        <v>81</v>
      </c>
      <c r="Q104" s="10">
        <f>IF(P104="None of the above",0,2)</f>
      </c>
      <c r="R104" s="7" t="s">
        <v>89</v>
      </c>
      <c r="S104" s="7" t="s">
        <v>42</v>
      </c>
      <c r="T104" s="7" t="s">
        <v>96</v>
      </c>
      <c r="U104" s="10">
        <f>IF(T104="Heavy physical",0,IF(T104="Moderate activity",1,2))</f>
      </c>
      <c r="V104" s="5" t="s">
        <v>69</v>
      </c>
      <c r="W104" s="10">
        <f>IF(V104="7–8 hours",0,IF(V104="6–7 hours",1,2))</f>
      </c>
      <c r="X104" s="7" t="s">
        <v>102</v>
      </c>
      <c r="Y104" s="7" t="s">
        <v>46</v>
      </c>
      <c r="Z104" s="7" t="s">
        <v>92</v>
      </c>
      <c r="AA104" s="7" t="s">
        <v>42</v>
      </c>
      <c r="AB104" s="7" t="s">
        <v>42</v>
      </c>
      <c r="AC104" s="7" t="s">
        <v>42</v>
      </c>
      <c r="AD104" s="10">
        <f>I104 + Q104 + U104 + W104</f>
      </c>
      <c r="AE104" s="10">
        <f>IF(AD104&lt;=2,0,IF(AD104&lt;=5,1,2))</f>
      </c>
      <c r="AF104" s="7"/>
    </row>
    <row x14ac:dyDescent="0.25" r="105" customHeight="1" ht="17.25" hidden="1">
      <c r="A105" s="7" t="s">
        <v>31</v>
      </c>
      <c r="B105" s="7" t="s">
        <v>71</v>
      </c>
      <c r="C105" s="7" t="s">
        <v>50</v>
      </c>
      <c r="D105" s="10">
        <v>3</v>
      </c>
      <c r="E105" s="7" t="s">
        <v>51</v>
      </c>
      <c r="F105" s="10">
        <v>158</v>
      </c>
      <c r="G105" s="11">
        <v>80</v>
      </c>
      <c r="H105" s="12">
        <f>G105/((F105/100)*(F105/100))</f>
      </c>
      <c r="I105" s="11">
        <f>IF(H105&lt;25,0,IF(H105&lt;30,1,2))</f>
      </c>
      <c r="J105" s="13">
        <v>3</v>
      </c>
      <c r="K105" s="7" t="s">
        <v>35</v>
      </c>
      <c r="L105" s="7" t="s">
        <v>157</v>
      </c>
      <c r="M105" s="7" t="s">
        <v>37</v>
      </c>
      <c r="N105" s="7" t="s">
        <v>38</v>
      </c>
      <c r="O105" s="7" t="s">
        <v>74</v>
      </c>
      <c r="P105" s="7" t="s">
        <v>40</v>
      </c>
      <c r="Q105" s="10">
        <f>IF(P105="None of the above",0,2)</f>
      </c>
      <c r="R105" s="7" t="s">
        <v>56</v>
      </c>
      <c r="S105" s="15" t="s">
        <v>48</v>
      </c>
      <c r="T105" s="7" t="s">
        <v>96</v>
      </c>
      <c r="U105" s="10">
        <f>IF(T105="Heavy physical",0,IF(T105="Moderate activity",1,2))</f>
      </c>
      <c r="V105" s="5" t="s">
        <v>57</v>
      </c>
      <c r="W105" s="10">
        <f>IF(V105="7–8 hours",0,IF(V105="6–7 hours",1,2))</f>
      </c>
      <c r="X105" s="7" t="s">
        <v>70</v>
      </c>
      <c r="Y105" s="7" t="s">
        <v>58</v>
      </c>
      <c r="Z105" s="7" t="s">
        <v>47</v>
      </c>
      <c r="AA105" s="7" t="s">
        <v>42</v>
      </c>
      <c r="AB105" s="7" t="s">
        <v>42</v>
      </c>
      <c r="AC105" s="7" t="s">
        <v>42</v>
      </c>
      <c r="AD105" s="10">
        <f>I105 + Q105 + U105 + W105</f>
      </c>
      <c r="AE105" s="10">
        <f>IF(AD105&lt;=2,0,IF(AD105&lt;=5,1,2))</f>
      </c>
      <c r="AF105" s="7"/>
    </row>
    <row x14ac:dyDescent="0.25" r="106" customHeight="1" ht="17.25" hidden="1">
      <c r="A106" s="7" t="s">
        <v>76</v>
      </c>
      <c r="B106" s="7" t="s">
        <v>71</v>
      </c>
      <c r="C106" s="7" t="s">
        <v>141</v>
      </c>
      <c r="D106" s="10">
        <v>4</v>
      </c>
      <c r="E106" s="7" t="s">
        <v>34</v>
      </c>
      <c r="F106" s="10">
        <v>161</v>
      </c>
      <c r="G106" s="11">
        <v>87</v>
      </c>
      <c r="H106" s="12">
        <f>G106/((F106/100)*(F106/100))</f>
      </c>
      <c r="I106" s="11">
        <f>IF(H106&lt;25,0,IF(H106&lt;30,1,2))</f>
      </c>
      <c r="J106" s="13">
        <v>2</v>
      </c>
      <c r="K106" s="7" t="s">
        <v>86</v>
      </c>
      <c r="L106" s="7" t="s">
        <v>87</v>
      </c>
      <c r="M106" s="7" t="s">
        <v>37</v>
      </c>
      <c r="N106" s="7" t="s">
        <v>38</v>
      </c>
      <c r="O106" s="7" t="s">
        <v>39</v>
      </c>
      <c r="P106" s="7" t="s">
        <v>132</v>
      </c>
      <c r="Q106" s="10">
        <f>IF(P106="None of the above",0,2)</f>
      </c>
      <c r="R106" s="7" t="s">
        <v>89</v>
      </c>
      <c r="S106" s="7" t="s">
        <v>42</v>
      </c>
      <c r="T106" s="7" t="s">
        <v>96</v>
      </c>
      <c r="U106" s="10">
        <f>IF(T106="Heavy physical",0,IF(T106="Moderate activity",1,2))</f>
      </c>
      <c r="V106" s="5" t="s">
        <v>69</v>
      </c>
      <c r="W106" s="10">
        <f>IF(V106="7–8 hours",0,IF(V106="6–7 hours",1,2))</f>
      </c>
      <c r="X106" s="15" t="s">
        <v>45</v>
      </c>
      <c r="Y106" s="7" t="s">
        <v>64</v>
      </c>
      <c r="Z106" s="7" t="s">
        <v>45</v>
      </c>
      <c r="AA106" s="7" t="s">
        <v>42</v>
      </c>
      <c r="AB106" s="7" t="s">
        <v>42</v>
      </c>
      <c r="AC106" s="7" t="s">
        <v>48</v>
      </c>
      <c r="AD106" s="10">
        <f>I106 + Q106 + U106 + W106</f>
      </c>
      <c r="AE106" s="10">
        <f>IF(AD106&lt;=2,0,IF(AD106&lt;=5,1,2))</f>
      </c>
      <c r="AF106" s="7"/>
    </row>
    <row x14ac:dyDescent="0.25" r="107" customHeight="1" ht="17.25" hidden="1">
      <c r="A107" s="7" t="s">
        <v>31</v>
      </c>
      <c r="B107" s="7" t="s">
        <v>32</v>
      </c>
      <c r="C107" s="7" t="s">
        <v>33</v>
      </c>
      <c r="D107" s="10">
        <v>3</v>
      </c>
      <c r="E107" s="7" t="s">
        <v>51</v>
      </c>
      <c r="F107" s="10">
        <v>195</v>
      </c>
      <c r="G107" s="11">
        <v>50</v>
      </c>
      <c r="H107" s="12">
        <f>G107/((F107/100)*(F107/100))</f>
      </c>
      <c r="I107" s="11">
        <f>IF(H107&lt;25,0,IF(H107&lt;30,1,2))</f>
      </c>
      <c r="J107" s="13">
        <v>3</v>
      </c>
      <c r="K107" s="7" t="s">
        <v>52</v>
      </c>
      <c r="L107" s="7" t="s">
        <v>90</v>
      </c>
      <c r="M107" s="7" t="s">
        <v>37</v>
      </c>
      <c r="N107" s="7" t="s">
        <v>38</v>
      </c>
      <c r="O107" s="7" t="s">
        <v>80</v>
      </c>
      <c r="P107" s="7" t="s">
        <v>81</v>
      </c>
      <c r="Q107" s="10">
        <f>IF(P107="None of the above",0,2)</f>
      </c>
      <c r="R107" s="7" t="s">
        <v>89</v>
      </c>
      <c r="S107" s="15" t="s">
        <v>48</v>
      </c>
      <c r="T107" s="7" t="s">
        <v>99</v>
      </c>
      <c r="U107" s="10">
        <f>IF(T107="Heavy physical",0,IF(T107="Moderate activity",1,2))</f>
      </c>
      <c r="V107" s="5" t="s">
        <v>97</v>
      </c>
      <c r="W107" s="10">
        <f>IF(V107="7–8 hours",0,IF(V107="6–7 hours",1,2))</f>
      </c>
      <c r="X107" s="7" t="s">
        <v>102</v>
      </c>
      <c r="Y107" s="7" t="s">
        <v>75</v>
      </c>
      <c r="Z107" s="7" t="s">
        <v>45</v>
      </c>
      <c r="AA107" s="7" t="s">
        <v>42</v>
      </c>
      <c r="AB107" s="7" t="s">
        <v>42</v>
      </c>
      <c r="AC107" s="7" t="s">
        <v>42</v>
      </c>
      <c r="AD107" s="10">
        <f>I107 + Q107 + U107 + W107</f>
      </c>
      <c r="AE107" s="10">
        <f>IF(AD107&lt;=2,0,IF(AD107&lt;=5,1,2))</f>
      </c>
      <c r="AF107" s="7"/>
    </row>
    <row x14ac:dyDescent="0.25" r="108" customHeight="1" ht="17.25" hidden="1">
      <c r="A108" s="7" t="s">
        <v>76</v>
      </c>
      <c r="B108" s="7" t="s">
        <v>32</v>
      </c>
      <c r="C108" s="7" t="s">
        <v>33</v>
      </c>
      <c r="D108" s="10">
        <v>1</v>
      </c>
      <c r="E108" s="7" t="s">
        <v>34</v>
      </c>
      <c r="F108" s="10">
        <v>187</v>
      </c>
      <c r="G108" s="11">
        <v>59</v>
      </c>
      <c r="H108" s="12">
        <f>G108/((F108/100)*(F108/100))</f>
      </c>
      <c r="I108" s="11">
        <f>IF(H108&lt;25,0,IF(H108&lt;30,1,2))</f>
      </c>
      <c r="J108" s="13">
        <v>1</v>
      </c>
      <c r="K108" s="7" t="s">
        <v>52</v>
      </c>
      <c r="L108" s="7" t="s">
        <v>115</v>
      </c>
      <c r="M108" s="7" t="s">
        <v>41</v>
      </c>
      <c r="N108" s="7" t="s">
        <v>38</v>
      </c>
      <c r="O108" s="7" t="s">
        <v>68</v>
      </c>
      <c r="P108" s="7" t="s">
        <v>81</v>
      </c>
      <c r="Q108" s="10">
        <f>IF(P108="None of the above",0,2)</f>
      </c>
      <c r="R108" s="7" t="s">
        <v>89</v>
      </c>
      <c r="S108" s="7" t="s">
        <v>42</v>
      </c>
      <c r="T108" s="7" t="s">
        <v>96</v>
      </c>
      <c r="U108" s="10">
        <f>IF(T108="Heavy physical",0,IF(T108="Moderate activity",1,2))</f>
      </c>
      <c r="V108" s="5" t="s">
        <v>57</v>
      </c>
      <c r="W108" s="10">
        <f>IF(V108="7–8 hours",0,IF(V108="6–7 hours",1,2))</f>
      </c>
      <c r="X108" s="15" t="s">
        <v>45</v>
      </c>
      <c r="Y108" s="7" t="s">
        <v>64</v>
      </c>
      <c r="Z108" s="7" t="s">
        <v>92</v>
      </c>
      <c r="AA108" s="7" t="s">
        <v>42</v>
      </c>
      <c r="AB108" s="7" t="s">
        <v>42</v>
      </c>
      <c r="AC108" s="7" t="s">
        <v>42</v>
      </c>
      <c r="AD108" s="10">
        <f>I108 + Q108 + U108 + W108</f>
      </c>
      <c r="AE108" s="10">
        <f>IF(AD108&lt;=2,0,IF(AD108&lt;=5,1,2))</f>
      </c>
      <c r="AF108" s="7"/>
    </row>
    <row x14ac:dyDescent="0.25" r="109" customHeight="1" ht="17.25" hidden="1">
      <c r="A109" s="7" t="s">
        <v>31</v>
      </c>
      <c r="B109" s="7" t="s">
        <v>93</v>
      </c>
      <c r="C109" s="7" t="s">
        <v>122</v>
      </c>
      <c r="D109" s="10">
        <v>2</v>
      </c>
      <c r="E109" s="7" t="s">
        <v>51</v>
      </c>
      <c r="F109" s="10">
        <v>180</v>
      </c>
      <c r="G109" s="11">
        <v>60</v>
      </c>
      <c r="H109" s="12">
        <f>G109/((F109/100)*(F109/100))</f>
      </c>
      <c r="I109" s="11">
        <f>IF(H109&lt;25,0,IF(H109&lt;30,1,2))</f>
      </c>
      <c r="J109" s="13">
        <v>1</v>
      </c>
      <c r="K109" s="7" t="s">
        <v>61</v>
      </c>
      <c r="L109" s="7" t="s">
        <v>101</v>
      </c>
      <c r="M109" s="7" t="s">
        <v>37</v>
      </c>
      <c r="N109" s="7" t="s">
        <v>38</v>
      </c>
      <c r="O109" s="7" t="s">
        <v>39</v>
      </c>
      <c r="P109" s="7" t="s">
        <v>40</v>
      </c>
      <c r="Q109" s="10">
        <f>IF(P109="None of the above",0,2)</f>
      </c>
      <c r="R109" s="15" t="s">
        <v>56</v>
      </c>
      <c r="S109" s="15" t="s">
        <v>48</v>
      </c>
      <c r="T109" s="7" t="s">
        <v>96</v>
      </c>
      <c r="U109" s="10">
        <f>IF(T109="Heavy physical",0,IF(T109="Moderate activity",1,2))</f>
      </c>
      <c r="V109" s="5" t="s">
        <v>57</v>
      </c>
      <c r="W109" s="10">
        <f>IF(V109="7–8 hours",0,IF(V109="6–7 hours",1,2))</f>
      </c>
      <c r="X109" s="15" t="s">
        <v>45</v>
      </c>
      <c r="Y109" s="7" t="s">
        <v>58</v>
      </c>
      <c r="Z109" s="7" t="s">
        <v>45</v>
      </c>
      <c r="AA109" s="7" t="s">
        <v>42</v>
      </c>
      <c r="AB109" s="7" t="s">
        <v>42</v>
      </c>
      <c r="AC109" s="7" t="s">
        <v>42</v>
      </c>
      <c r="AD109" s="10">
        <f>I109 + Q109 + U109 + W109</f>
      </c>
      <c r="AE109" s="10">
        <f>IF(AD109&lt;=2,0,IF(AD109&lt;=5,1,2))</f>
      </c>
      <c r="AF109" s="7"/>
    </row>
    <row x14ac:dyDescent="0.25" r="110" customHeight="1" ht="17.25" hidden="1">
      <c r="A110" s="7" t="s">
        <v>49</v>
      </c>
      <c r="B110" s="7" t="s">
        <v>93</v>
      </c>
      <c r="C110" s="7" t="s">
        <v>141</v>
      </c>
      <c r="D110" s="10">
        <v>6</v>
      </c>
      <c r="E110" s="7" t="s">
        <v>51</v>
      </c>
      <c r="F110" s="10">
        <v>157</v>
      </c>
      <c r="G110" s="11">
        <v>92</v>
      </c>
      <c r="H110" s="12">
        <f>G110/((F110/100)*(F110/100))</f>
      </c>
      <c r="I110" s="11">
        <f>IF(H110&lt;25,0,IF(H110&lt;30,1,2))</f>
      </c>
      <c r="J110" s="13">
        <v>1</v>
      </c>
      <c r="K110" s="7" t="s">
        <v>61</v>
      </c>
      <c r="L110" s="7" t="s">
        <v>158</v>
      </c>
      <c r="M110" s="7" t="s">
        <v>37</v>
      </c>
      <c r="N110" s="7" t="s">
        <v>38</v>
      </c>
      <c r="O110" s="7" t="s">
        <v>63</v>
      </c>
      <c r="P110" s="7" t="s">
        <v>81</v>
      </c>
      <c r="Q110" s="10">
        <f>IF(P110="None of the above",0,2)</f>
      </c>
      <c r="R110" s="7" t="s">
        <v>89</v>
      </c>
      <c r="S110" s="7" t="s">
        <v>42</v>
      </c>
      <c r="T110" s="7" t="s">
        <v>96</v>
      </c>
      <c r="U110" s="10">
        <f>IF(T110="Heavy physical",0,IF(T110="Moderate activity",1,2))</f>
      </c>
      <c r="V110" s="5" t="s">
        <v>57</v>
      </c>
      <c r="W110" s="10">
        <f>IF(V110="7–8 hours",0,IF(V110="6–7 hours",1,2))</f>
      </c>
      <c r="X110" s="15" t="s">
        <v>45</v>
      </c>
      <c r="Y110" s="7" t="s">
        <v>64</v>
      </c>
      <c r="Z110" s="7" t="s">
        <v>47</v>
      </c>
      <c r="AA110" s="7" t="s">
        <v>42</v>
      </c>
      <c r="AB110" s="7" t="s">
        <v>42</v>
      </c>
      <c r="AC110" s="7" t="s">
        <v>42</v>
      </c>
      <c r="AD110" s="10">
        <f>I110 + Q110 + U110 + W110</f>
      </c>
      <c r="AE110" s="10">
        <f>IF(AD110&lt;=2,0,IF(AD110&lt;=5,1,2))</f>
      </c>
      <c r="AF110" s="7"/>
    </row>
    <row x14ac:dyDescent="0.25" r="111" customHeight="1" ht="17.25" hidden="1">
      <c r="A111" s="7" t="s">
        <v>31</v>
      </c>
      <c r="B111" s="7" t="s">
        <v>93</v>
      </c>
      <c r="C111" s="7" t="s">
        <v>122</v>
      </c>
      <c r="D111" s="10">
        <v>8</v>
      </c>
      <c r="E111" s="7" t="s">
        <v>51</v>
      </c>
      <c r="F111" s="10">
        <v>193</v>
      </c>
      <c r="G111" s="11">
        <v>116</v>
      </c>
      <c r="H111" s="12">
        <f>G111/((F111/100)*(F111/100))</f>
      </c>
      <c r="I111" s="11">
        <f>IF(H111&lt;25,0,IF(H111&lt;30,1,2))</f>
      </c>
      <c r="J111" s="13">
        <v>3</v>
      </c>
      <c r="K111" s="7" t="s">
        <v>86</v>
      </c>
      <c r="L111" s="7" t="s">
        <v>152</v>
      </c>
      <c r="M111" s="7" t="s">
        <v>41</v>
      </c>
      <c r="N111" s="7" t="s">
        <v>38</v>
      </c>
      <c r="O111" s="7" t="s">
        <v>63</v>
      </c>
      <c r="P111" s="7" t="s">
        <v>81</v>
      </c>
      <c r="Q111" s="10">
        <f>IF(P111="None of the above",0,2)</f>
      </c>
      <c r="R111" s="7" t="s">
        <v>89</v>
      </c>
      <c r="S111" s="15" t="s">
        <v>48</v>
      </c>
      <c r="T111" s="7" t="s">
        <v>96</v>
      </c>
      <c r="U111" s="10">
        <f>IF(T111="Heavy physical",0,IF(T111="Moderate activity",1,2))</f>
      </c>
      <c r="V111" s="5" t="s">
        <v>57</v>
      </c>
      <c r="W111" s="10">
        <f>IF(V111="7–8 hours",0,IF(V111="6–7 hours",1,2))</f>
      </c>
      <c r="X111" s="15" t="s">
        <v>45</v>
      </c>
      <c r="Y111" s="7" t="s">
        <v>75</v>
      </c>
      <c r="Z111" s="7" t="s">
        <v>45</v>
      </c>
      <c r="AA111" s="7" t="s">
        <v>42</v>
      </c>
      <c r="AB111" s="7" t="s">
        <v>42</v>
      </c>
      <c r="AC111" s="7" t="s">
        <v>42</v>
      </c>
      <c r="AD111" s="10">
        <f>I111 + Q111 + U111 + W111</f>
      </c>
      <c r="AE111" s="10">
        <f>IF(AD111&lt;=2,0,IF(AD111&lt;=5,1,2))</f>
      </c>
      <c r="AF111" s="7"/>
    </row>
    <row x14ac:dyDescent="0.25" r="112" customHeight="1" ht="17.25" hidden="1">
      <c r="A112" s="7" t="s">
        <v>76</v>
      </c>
      <c r="B112" s="7" t="s">
        <v>93</v>
      </c>
      <c r="C112" s="7" t="s">
        <v>33</v>
      </c>
      <c r="D112" s="10">
        <v>4</v>
      </c>
      <c r="E112" s="7" t="s">
        <v>34</v>
      </c>
      <c r="F112" s="10">
        <v>146</v>
      </c>
      <c r="G112" s="11">
        <v>104</v>
      </c>
      <c r="H112" s="12">
        <f>G112/((F112/100)*(F112/100))</f>
      </c>
      <c r="I112" s="11">
        <f>IF(H112&lt;25,0,IF(H112&lt;30,1,2))</f>
      </c>
      <c r="J112" s="13">
        <v>3</v>
      </c>
      <c r="K112" s="7" t="s">
        <v>72</v>
      </c>
      <c r="L112" s="7" t="s">
        <v>94</v>
      </c>
      <c r="M112" s="7" t="s">
        <v>37</v>
      </c>
      <c r="N112" s="7" t="s">
        <v>38</v>
      </c>
      <c r="O112" s="7" t="s">
        <v>68</v>
      </c>
      <c r="P112" s="7" t="s">
        <v>81</v>
      </c>
      <c r="Q112" s="10">
        <f>IF(P112="None of the above",0,2)</f>
      </c>
      <c r="R112" s="7" t="s">
        <v>89</v>
      </c>
      <c r="S112" s="15" t="s">
        <v>48</v>
      </c>
      <c r="T112" s="7" t="s">
        <v>96</v>
      </c>
      <c r="U112" s="10">
        <f>IF(T112="Heavy physical",0,IF(T112="Moderate activity",1,2))</f>
      </c>
      <c r="V112" s="5" t="s">
        <v>44</v>
      </c>
      <c r="W112" s="10">
        <f>IF(V112="7–8 hours",0,IF(V112="6–7 hours",1,2))</f>
      </c>
      <c r="X112" s="15" t="s">
        <v>45</v>
      </c>
      <c r="Y112" s="7" t="s">
        <v>64</v>
      </c>
      <c r="Z112" s="7" t="s">
        <v>45</v>
      </c>
      <c r="AA112" s="7" t="s">
        <v>42</v>
      </c>
      <c r="AB112" s="7" t="s">
        <v>42</v>
      </c>
      <c r="AC112" s="7" t="s">
        <v>42</v>
      </c>
      <c r="AD112" s="10">
        <f>I112 + Q112 + U112 + W112</f>
      </c>
      <c r="AE112" s="10">
        <f>IF(AD112&lt;=2,0,IF(AD112&lt;=5,1,2))</f>
      </c>
      <c r="AF112" s="7"/>
    </row>
    <row x14ac:dyDescent="0.25" r="113" customHeight="1" ht="17.25" hidden="1">
      <c r="A113" s="7" t="s">
        <v>31</v>
      </c>
      <c r="B113" s="7" t="s">
        <v>66</v>
      </c>
      <c r="C113" s="7" t="s">
        <v>141</v>
      </c>
      <c r="D113" s="10">
        <v>1</v>
      </c>
      <c r="E113" s="7" t="s">
        <v>51</v>
      </c>
      <c r="F113" s="10">
        <v>174</v>
      </c>
      <c r="G113" s="11">
        <v>80</v>
      </c>
      <c r="H113" s="12">
        <f>G113/((F113/100)*(F113/100))</f>
      </c>
      <c r="I113" s="11">
        <f>IF(H113&lt;25,0,IF(H113&lt;30,1,2))</f>
      </c>
      <c r="J113" s="13">
        <v>1</v>
      </c>
      <c r="K113" s="7" t="s">
        <v>61</v>
      </c>
      <c r="L113" s="7" t="s">
        <v>53</v>
      </c>
      <c r="M113" s="7" t="s">
        <v>37</v>
      </c>
      <c r="N113" s="7" t="s">
        <v>38</v>
      </c>
      <c r="O113" s="7" t="s">
        <v>80</v>
      </c>
      <c r="P113" s="7" t="s">
        <v>40</v>
      </c>
      <c r="Q113" s="10">
        <f>IF(P113="None of the above",0,2)</f>
      </c>
      <c r="R113" s="15" t="s">
        <v>56</v>
      </c>
      <c r="S113" s="7" t="s">
        <v>42</v>
      </c>
      <c r="T113" s="7" t="s">
        <v>96</v>
      </c>
      <c r="U113" s="10">
        <f>IF(T113="Heavy physical",0,IF(T113="Moderate activity",1,2))</f>
      </c>
      <c r="V113" s="5" t="s">
        <v>44</v>
      </c>
      <c r="W113" s="10">
        <f>IF(V113="7–8 hours",0,IF(V113="6–7 hours",1,2))</f>
      </c>
      <c r="X113" s="7" t="s">
        <v>70</v>
      </c>
      <c r="Y113" s="7" t="s">
        <v>75</v>
      </c>
      <c r="Z113" s="7" t="s">
        <v>45</v>
      </c>
      <c r="AA113" s="7" t="s">
        <v>42</v>
      </c>
      <c r="AB113" s="7" t="s">
        <v>42</v>
      </c>
      <c r="AC113" s="7" t="s">
        <v>42</v>
      </c>
      <c r="AD113" s="10">
        <f>I113 + Q113 + U113 + W113</f>
      </c>
      <c r="AE113" s="10">
        <f>IF(AD113&lt;=2,0,IF(AD113&lt;=5,1,2))</f>
      </c>
      <c r="AF113" s="7"/>
    </row>
    <row x14ac:dyDescent="0.25" r="114" customHeight="1" ht="17.25" hidden="1">
      <c r="A114" s="7" t="s">
        <v>76</v>
      </c>
      <c r="B114" s="7" t="s">
        <v>77</v>
      </c>
      <c r="C114" s="7" t="s">
        <v>50</v>
      </c>
      <c r="D114" s="10">
        <v>7</v>
      </c>
      <c r="E114" s="7" t="s">
        <v>51</v>
      </c>
      <c r="F114" s="10">
        <v>165</v>
      </c>
      <c r="G114" s="11">
        <v>87</v>
      </c>
      <c r="H114" s="12">
        <f>G114/((F114/100)*(F114/100))</f>
      </c>
      <c r="I114" s="11">
        <f>IF(H114&lt;25,0,IF(H114&lt;30,1,2))</f>
      </c>
      <c r="J114" s="13">
        <v>2</v>
      </c>
      <c r="K114" s="7" t="s">
        <v>61</v>
      </c>
      <c r="L114" s="7" t="s">
        <v>94</v>
      </c>
      <c r="M114" s="7" t="s">
        <v>54</v>
      </c>
      <c r="N114" s="7" t="s">
        <v>38</v>
      </c>
      <c r="O114" s="7" t="s">
        <v>80</v>
      </c>
      <c r="P114" s="7" t="s">
        <v>81</v>
      </c>
      <c r="Q114" s="10">
        <f>IF(P114="None of the above",0,2)</f>
      </c>
      <c r="R114" s="7" t="s">
        <v>89</v>
      </c>
      <c r="S114" s="15" t="s">
        <v>48</v>
      </c>
      <c r="T114" s="7" t="s">
        <v>99</v>
      </c>
      <c r="U114" s="10">
        <f>IF(T114="Heavy physical",0,IF(T114="Moderate activity",1,2))</f>
      </c>
      <c r="V114" s="5" t="s">
        <v>57</v>
      </c>
      <c r="W114" s="10">
        <f>IF(V114="7–8 hours",0,IF(V114="6–7 hours",1,2))</f>
      </c>
      <c r="X114" s="7" t="s">
        <v>70</v>
      </c>
      <c r="Y114" s="7" t="s">
        <v>64</v>
      </c>
      <c r="Z114" s="7" t="s">
        <v>45</v>
      </c>
      <c r="AA114" s="7" t="s">
        <v>42</v>
      </c>
      <c r="AB114" s="7" t="s">
        <v>42</v>
      </c>
      <c r="AC114" s="7" t="s">
        <v>42</v>
      </c>
      <c r="AD114" s="10">
        <f>I114 + Q114 + U114 + W114</f>
      </c>
      <c r="AE114" s="10">
        <f>IF(AD114&lt;=2,0,IF(AD114&lt;=5,1,2))</f>
      </c>
      <c r="AF114" s="7"/>
    </row>
    <row x14ac:dyDescent="0.25" r="115" customHeight="1" ht="17.25" hidden="1">
      <c r="A115" s="7" t="s">
        <v>31</v>
      </c>
      <c r="B115" s="7" t="s">
        <v>77</v>
      </c>
      <c r="C115" s="7" t="s">
        <v>122</v>
      </c>
      <c r="D115" s="10">
        <v>6</v>
      </c>
      <c r="E115" s="7" t="s">
        <v>34</v>
      </c>
      <c r="F115" s="10">
        <v>141</v>
      </c>
      <c r="G115" s="11">
        <v>110</v>
      </c>
      <c r="H115" s="12">
        <f>G115/((F115/100)*(F115/100))</f>
      </c>
      <c r="I115" s="11">
        <f>IF(H115&lt;25,0,IF(H115&lt;30,1,2))</f>
      </c>
      <c r="J115" s="13">
        <v>2</v>
      </c>
      <c r="K115" s="7" t="s">
        <v>35</v>
      </c>
      <c r="L115" s="7" t="s">
        <v>159</v>
      </c>
      <c r="M115" s="7" t="s">
        <v>37</v>
      </c>
      <c r="N115" s="7" t="s">
        <v>38</v>
      </c>
      <c r="O115" s="7" t="s">
        <v>63</v>
      </c>
      <c r="P115" s="7" t="s">
        <v>55</v>
      </c>
      <c r="Q115" s="10">
        <f>IF(P115="None of the above",0,2)</f>
      </c>
      <c r="R115" s="7" t="s">
        <v>56</v>
      </c>
      <c r="S115" s="15" t="s">
        <v>48</v>
      </c>
      <c r="T115" s="7" t="s">
        <v>96</v>
      </c>
      <c r="U115" s="10">
        <f>IF(T115="Heavy physical",0,IF(T115="Moderate activity",1,2))</f>
      </c>
      <c r="V115" s="5" t="s">
        <v>44</v>
      </c>
      <c r="W115" s="10">
        <f>IF(V115="7–8 hours",0,IF(V115="6–7 hours",1,2))</f>
      </c>
      <c r="X115" s="7" t="s">
        <v>45</v>
      </c>
      <c r="Y115" s="7" t="s">
        <v>58</v>
      </c>
      <c r="Z115" s="7" t="s">
        <v>92</v>
      </c>
      <c r="AA115" s="7" t="s">
        <v>48</v>
      </c>
      <c r="AB115" s="7" t="s">
        <v>48</v>
      </c>
      <c r="AC115" s="7" t="s">
        <v>42</v>
      </c>
      <c r="AD115" s="10">
        <f>I115 + Q115 + U115 + W115</f>
      </c>
      <c r="AE115" s="10">
        <f>IF(AD115&lt;=2,0,IF(AD115&lt;=5,1,2))</f>
      </c>
      <c r="AF115" s="7"/>
    </row>
    <row x14ac:dyDescent="0.25" r="116" customHeight="1" ht="17.25" hidden="1">
      <c r="A116" s="7" t="s">
        <v>49</v>
      </c>
      <c r="B116" s="7" t="s">
        <v>32</v>
      </c>
      <c r="C116" s="7" t="s">
        <v>50</v>
      </c>
      <c r="D116" s="10">
        <v>7</v>
      </c>
      <c r="E116" s="7" t="s">
        <v>51</v>
      </c>
      <c r="F116" s="10">
        <v>199</v>
      </c>
      <c r="G116" s="11">
        <v>65</v>
      </c>
      <c r="H116" s="12">
        <f>G116/((F116/100)*(F116/100))</f>
      </c>
      <c r="I116" s="11">
        <f>IF(H116&lt;25,0,IF(H116&lt;30,1,2))</f>
      </c>
      <c r="J116" s="13">
        <v>3</v>
      </c>
      <c r="K116" s="7" t="s">
        <v>52</v>
      </c>
      <c r="L116" s="7" t="s">
        <v>36</v>
      </c>
      <c r="M116" s="7" t="s">
        <v>37</v>
      </c>
      <c r="N116" s="7" t="s">
        <v>38</v>
      </c>
      <c r="O116" s="7" t="s">
        <v>74</v>
      </c>
      <c r="P116" s="7" t="s">
        <v>81</v>
      </c>
      <c r="Q116" s="10">
        <f>IF(P116="None of the above",0,2)</f>
      </c>
      <c r="R116" s="7" t="s">
        <v>89</v>
      </c>
      <c r="S116" s="7" t="s">
        <v>42</v>
      </c>
      <c r="T116" s="7" t="s">
        <v>96</v>
      </c>
      <c r="U116" s="10">
        <f>IF(T116="Heavy physical",0,IF(T116="Moderate activity",1,2))</f>
      </c>
      <c r="V116" s="5" t="s">
        <v>97</v>
      </c>
      <c r="W116" s="10">
        <f>IF(V116="7–8 hours",0,IF(V116="6–7 hours",1,2))</f>
      </c>
      <c r="X116" s="7" t="s">
        <v>70</v>
      </c>
      <c r="Y116" s="7" t="s">
        <v>75</v>
      </c>
      <c r="Z116" s="7" t="s">
        <v>45</v>
      </c>
      <c r="AA116" s="7" t="s">
        <v>42</v>
      </c>
      <c r="AB116" s="7" t="s">
        <v>42</v>
      </c>
      <c r="AC116" s="7" t="s">
        <v>42</v>
      </c>
      <c r="AD116" s="10">
        <f>I116 + Q116 + U116 + W116</f>
      </c>
      <c r="AE116" s="10">
        <f>IF(AD116&lt;=2,0,IF(AD116&lt;=5,1,2))</f>
      </c>
      <c r="AF116" s="7"/>
    </row>
    <row x14ac:dyDescent="0.25" r="117" customHeight="1" ht="17.25" hidden="1">
      <c r="A117" s="7" t="s">
        <v>49</v>
      </c>
      <c r="B117" s="7" t="s">
        <v>32</v>
      </c>
      <c r="C117" s="7" t="s">
        <v>141</v>
      </c>
      <c r="D117" s="10">
        <v>5</v>
      </c>
      <c r="E117" s="7" t="s">
        <v>34</v>
      </c>
      <c r="F117" s="10">
        <v>146</v>
      </c>
      <c r="G117" s="11">
        <v>68</v>
      </c>
      <c r="H117" s="12">
        <f>G117/((F117/100)*(F117/100))</f>
      </c>
      <c r="I117" s="11">
        <f>IF(H117&lt;25,0,IF(H117&lt;30,1,2))</f>
      </c>
      <c r="J117" s="13">
        <v>3</v>
      </c>
      <c r="K117" s="7" t="s">
        <v>61</v>
      </c>
      <c r="L117" s="7" t="s">
        <v>160</v>
      </c>
      <c r="M117" s="7" t="s">
        <v>37</v>
      </c>
      <c r="N117" s="7" t="s">
        <v>38</v>
      </c>
      <c r="O117" s="7" t="s">
        <v>63</v>
      </c>
      <c r="P117" s="7" t="s">
        <v>81</v>
      </c>
      <c r="Q117" s="10">
        <f>IF(P117="None of the above",0,2)</f>
      </c>
      <c r="R117" s="7" t="s">
        <v>89</v>
      </c>
      <c r="S117" s="15" t="s">
        <v>48</v>
      </c>
      <c r="T117" s="7" t="s">
        <v>96</v>
      </c>
      <c r="U117" s="10">
        <f>IF(T117="Heavy physical",0,IF(T117="Moderate activity",1,2))</f>
      </c>
      <c r="V117" s="5" t="s">
        <v>97</v>
      </c>
      <c r="W117" s="10">
        <f>IF(V117="7–8 hours",0,IF(V117="6–7 hours",1,2))</f>
      </c>
      <c r="X117" s="15" t="s">
        <v>45</v>
      </c>
      <c r="Y117" s="7" t="s">
        <v>58</v>
      </c>
      <c r="Z117" s="7" t="s">
        <v>47</v>
      </c>
      <c r="AA117" s="7" t="s">
        <v>42</v>
      </c>
      <c r="AB117" s="7" t="s">
        <v>42</v>
      </c>
      <c r="AC117" s="7" t="s">
        <v>48</v>
      </c>
      <c r="AD117" s="10">
        <f>I117 + Q117 + U117 + W117</f>
      </c>
      <c r="AE117" s="10">
        <f>IF(AD117&lt;=2,0,IF(AD117&lt;=5,1,2))</f>
      </c>
      <c r="AF117" s="7"/>
    </row>
    <row x14ac:dyDescent="0.25" r="118" customHeight="1" ht="17.25" hidden="1">
      <c r="A118" s="7" t="s">
        <v>49</v>
      </c>
      <c r="B118" s="7" t="s">
        <v>71</v>
      </c>
      <c r="C118" s="7" t="s">
        <v>33</v>
      </c>
      <c r="D118" s="10">
        <v>1</v>
      </c>
      <c r="E118" s="7" t="s">
        <v>34</v>
      </c>
      <c r="F118" s="10">
        <v>181</v>
      </c>
      <c r="G118" s="11">
        <v>55</v>
      </c>
      <c r="H118" s="12">
        <f>G118/((F118/100)*(F118/100))</f>
      </c>
      <c r="I118" s="11">
        <f>IF(H118&lt;25,0,IF(H118&lt;30,1,2))</f>
      </c>
      <c r="J118" s="13">
        <v>3</v>
      </c>
      <c r="K118" s="7" t="s">
        <v>105</v>
      </c>
      <c r="L118" s="7" t="s">
        <v>153</v>
      </c>
      <c r="M118" s="7" t="s">
        <v>37</v>
      </c>
      <c r="N118" s="7" t="s">
        <v>38</v>
      </c>
      <c r="O118" s="7" t="s">
        <v>74</v>
      </c>
      <c r="P118" s="7" t="s">
        <v>132</v>
      </c>
      <c r="Q118" s="10">
        <f>IF(P118="None of the above",0,2)</f>
      </c>
      <c r="R118" s="7" t="s">
        <v>56</v>
      </c>
      <c r="S118" s="7" t="s">
        <v>42</v>
      </c>
      <c r="T118" s="7" t="s">
        <v>96</v>
      </c>
      <c r="U118" s="10">
        <f>IF(T118="Heavy physical",0,IF(T118="Moderate activity",1,2))</f>
      </c>
      <c r="V118" s="5" t="s">
        <v>44</v>
      </c>
      <c r="W118" s="10">
        <f>IF(V118="7–8 hours",0,IF(V118="6–7 hours",1,2))</f>
      </c>
      <c r="X118" s="15" t="s">
        <v>45</v>
      </c>
      <c r="Y118" s="7" t="s">
        <v>75</v>
      </c>
      <c r="Z118" s="7" t="s">
        <v>45</v>
      </c>
      <c r="AA118" s="7" t="s">
        <v>42</v>
      </c>
      <c r="AB118" s="7" t="s">
        <v>42</v>
      </c>
      <c r="AC118" s="7" t="s">
        <v>42</v>
      </c>
      <c r="AD118" s="10">
        <f>I118 + Q118 + U118 + W118</f>
      </c>
      <c r="AE118" s="10">
        <f>IF(AD118&lt;=2,0,IF(AD118&lt;=5,1,2))</f>
      </c>
      <c r="AF118" s="7"/>
    </row>
    <row x14ac:dyDescent="0.25" r="119" customHeight="1" ht="17.25" hidden="1">
      <c r="A119" s="7" t="s">
        <v>76</v>
      </c>
      <c r="B119" s="7" t="s">
        <v>93</v>
      </c>
      <c r="C119" s="7" t="s">
        <v>33</v>
      </c>
      <c r="D119" s="10">
        <v>6</v>
      </c>
      <c r="E119" s="7" t="s">
        <v>34</v>
      </c>
      <c r="F119" s="10">
        <v>171</v>
      </c>
      <c r="G119" s="11">
        <v>107</v>
      </c>
      <c r="H119" s="12">
        <f>G119/((F119/100)*(F119/100))</f>
      </c>
      <c r="I119" s="11">
        <f>IF(H119&lt;25,0,IF(H119&lt;30,1,2))</f>
      </c>
      <c r="J119" s="13">
        <v>2</v>
      </c>
      <c r="K119" s="7" t="s">
        <v>52</v>
      </c>
      <c r="L119" s="7" t="s">
        <v>94</v>
      </c>
      <c r="M119" s="7" t="s">
        <v>37</v>
      </c>
      <c r="N119" s="7" t="s">
        <v>38</v>
      </c>
      <c r="O119" s="7" t="s">
        <v>80</v>
      </c>
      <c r="P119" s="7" t="s">
        <v>55</v>
      </c>
      <c r="Q119" s="10">
        <f>IF(P119="None of the above",0,2)</f>
      </c>
      <c r="R119" s="15" t="s">
        <v>56</v>
      </c>
      <c r="S119" s="15" t="s">
        <v>48</v>
      </c>
      <c r="T119" s="7" t="s">
        <v>96</v>
      </c>
      <c r="U119" s="10">
        <f>IF(T119="Heavy physical",0,IF(T119="Moderate activity",1,2))</f>
      </c>
      <c r="V119" s="5" t="s">
        <v>57</v>
      </c>
      <c r="W119" s="10">
        <f>IF(V119="7–8 hours",0,IF(V119="6–7 hours",1,2))</f>
      </c>
      <c r="X119" s="7" t="s">
        <v>83</v>
      </c>
      <c r="Y119" s="7" t="s">
        <v>58</v>
      </c>
      <c r="Z119" s="7" t="s">
        <v>45</v>
      </c>
      <c r="AA119" s="7" t="s">
        <v>48</v>
      </c>
      <c r="AB119" s="7" t="s">
        <v>42</v>
      </c>
      <c r="AC119" s="7" t="s">
        <v>42</v>
      </c>
      <c r="AD119" s="10">
        <f>I119 + Q119 + U119 + W119</f>
      </c>
      <c r="AE119" s="10">
        <f>IF(AD119&lt;=2,0,IF(AD119&lt;=5,1,2))</f>
      </c>
      <c r="AF119" s="7"/>
    </row>
    <row x14ac:dyDescent="0.25" r="120" customHeight="1" ht="17.25" hidden="1">
      <c r="A120" s="7" t="s">
        <v>31</v>
      </c>
      <c r="B120" s="7" t="s">
        <v>66</v>
      </c>
      <c r="C120" s="7" t="s">
        <v>33</v>
      </c>
      <c r="D120" s="10">
        <v>7</v>
      </c>
      <c r="E120" s="7" t="s">
        <v>34</v>
      </c>
      <c r="F120" s="10">
        <v>161</v>
      </c>
      <c r="G120" s="11">
        <v>84</v>
      </c>
      <c r="H120" s="12">
        <f>G120/((F120/100)*(F120/100))</f>
      </c>
      <c r="I120" s="11">
        <f>IF(H120&lt;25,0,IF(H120&lt;30,1,2))</f>
      </c>
      <c r="J120" s="13">
        <v>3</v>
      </c>
      <c r="K120" s="7" t="s">
        <v>72</v>
      </c>
      <c r="L120" s="7" t="s">
        <v>116</v>
      </c>
      <c r="M120" s="7" t="s">
        <v>54</v>
      </c>
      <c r="N120" s="7" t="s">
        <v>38</v>
      </c>
      <c r="O120" s="7" t="s">
        <v>39</v>
      </c>
      <c r="P120" s="7" t="s">
        <v>81</v>
      </c>
      <c r="Q120" s="10">
        <f>IF(P120="None of the above",0,2)</f>
      </c>
      <c r="R120" s="7" t="s">
        <v>89</v>
      </c>
      <c r="S120" s="7" t="s">
        <v>42</v>
      </c>
      <c r="T120" s="7" t="s">
        <v>96</v>
      </c>
      <c r="U120" s="10">
        <f>IF(T120="Heavy physical",0,IF(T120="Moderate activity",1,2))</f>
      </c>
      <c r="V120" s="5" t="s">
        <v>44</v>
      </c>
      <c r="W120" s="10">
        <f>IF(V120="7–8 hours",0,IF(V120="6–7 hours",1,2))</f>
      </c>
      <c r="X120" s="7" t="s">
        <v>102</v>
      </c>
      <c r="Y120" s="7" t="s">
        <v>46</v>
      </c>
      <c r="Z120" s="7" t="s">
        <v>45</v>
      </c>
      <c r="AA120" s="7" t="s">
        <v>42</v>
      </c>
      <c r="AB120" s="7" t="s">
        <v>42</v>
      </c>
      <c r="AC120" s="7" t="s">
        <v>42</v>
      </c>
      <c r="AD120" s="10">
        <f>I120 + Q120 + U120 + W120</f>
      </c>
      <c r="AE120" s="10">
        <f>IF(AD120&lt;=2,0,IF(AD120&lt;=5,1,2))</f>
      </c>
      <c r="AF120" s="7"/>
    </row>
    <row x14ac:dyDescent="0.25" r="121" customHeight="1" ht="17.25" hidden="1">
      <c r="A121" s="7" t="s">
        <v>76</v>
      </c>
      <c r="B121" s="7" t="s">
        <v>32</v>
      </c>
      <c r="C121" s="7" t="s">
        <v>33</v>
      </c>
      <c r="D121" s="10">
        <v>3</v>
      </c>
      <c r="E121" s="7" t="s">
        <v>51</v>
      </c>
      <c r="F121" s="10">
        <v>188</v>
      </c>
      <c r="G121" s="11">
        <v>88</v>
      </c>
      <c r="H121" s="12">
        <f>G121/((F121/100)*(F121/100))</f>
      </c>
      <c r="I121" s="11">
        <f>IF(H121&lt;25,0,IF(H121&lt;30,1,2))</f>
      </c>
      <c r="J121" s="13">
        <v>3</v>
      </c>
      <c r="K121" s="7" t="s">
        <v>52</v>
      </c>
      <c r="L121" s="7" t="s">
        <v>94</v>
      </c>
      <c r="M121" s="7" t="s">
        <v>37</v>
      </c>
      <c r="N121" s="7" t="s">
        <v>38</v>
      </c>
      <c r="O121" s="7" t="s">
        <v>63</v>
      </c>
      <c r="P121" s="7" t="s">
        <v>81</v>
      </c>
      <c r="Q121" s="10">
        <f>IF(P121="None of the above",0,2)</f>
      </c>
      <c r="R121" s="7" t="s">
        <v>89</v>
      </c>
      <c r="S121" s="15" t="s">
        <v>48</v>
      </c>
      <c r="T121" s="7" t="s">
        <v>96</v>
      </c>
      <c r="U121" s="10">
        <f>IF(T121="Heavy physical",0,IF(T121="Moderate activity",1,2))</f>
      </c>
      <c r="V121" s="5" t="s">
        <v>57</v>
      </c>
      <c r="W121" s="10">
        <f>IF(V121="7–8 hours",0,IF(V121="6–7 hours",1,2))</f>
      </c>
      <c r="X121" s="7" t="s">
        <v>83</v>
      </c>
      <c r="Y121" s="7" t="s">
        <v>75</v>
      </c>
      <c r="Z121" s="7" t="s">
        <v>65</v>
      </c>
      <c r="AA121" s="7" t="s">
        <v>42</v>
      </c>
      <c r="AB121" s="7" t="s">
        <v>42</v>
      </c>
      <c r="AC121" s="7" t="s">
        <v>42</v>
      </c>
      <c r="AD121" s="10">
        <f>I121 + Q121 + U121 + W121</f>
      </c>
      <c r="AE121" s="10">
        <f>IF(AD121&lt;=2,0,IF(AD121&lt;=5,1,2))</f>
      </c>
      <c r="AF121" s="7"/>
    </row>
    <row x14ac:dyDescent="0.25" r="122" customHeight="1" ht="17.25" hidden="1">
      <c r="A122" s="7" t="s">
        <v>49</v>
      </c>
      <c r="B122" s="7" t="s">
        <v>84</v>
      </c>
      <c r="C122" s="7" t="s">
        <v>33</v>
      </c>
      <c r="D122" s="10">
        <v>8</v>
      </c>
      <c r="E122" s="7" t="s">
        <v>34</v>
      </c>
      <c r="F122" s="10">
        <v>151</v>
      </c>
      <c r="G122" s="11">
        <v>68</v>
      </c>
      <c r="H122" s="12">
        <f>G122/((F122/100)*(F122/100))</f>
      </c>
      <c r="I122" s="11">
        <f>IF(H122&lt;25,0,IF(H122&lt;30,1,2))</f>
      </c>
      <c r="J122" s="13">
        <v>3</v>
      </c>
      <c r="K122" s="7" t="s">
        <v>86</v>
      </c>
      <c r="L122" s="7" t="s">
        <v>159</v>
      </c>
      <c r="M122" s="7" t="s">
        <v>37</v>
      </c>
      <c r="N122" s="7" t="s">
        <v>38</v>
      </c>
      <c r="O122" s="7" t="s">
        <v>63</v>
      </c>
      <c r="P122" s="7" t="s">
        <v>132</v>
      </c>
      <c r="Q122" s="10">
        <f>IF(P122="None of the above",0,2)</f>
      </c>
      <c r="R122" s="15" t="s">
        <v>56</v>
      </c>
      <c r="S122" s="15" t="s">
        <v>48</v>
      </c>
      <c r="T122" s="7" t="s">
        <v>96</v>
      </c>
      <c r="U122" s="10">
        <f>IF(T122="Heavy physical",0,IF(T122="Moderate activity",1,2))</f>
      </c>
      <c r="V122" s="5" t="s">
        <v>57</v>
      </c>
      <c r="W122" s="10">
        <f>IF(V122="7–8 hours",0,IF(V122="6–7 hours",1,2))</f>
      </c>
      <c r="X122" s="7" t="s">
        <v>70</v>
      </c>
      <c r="Y122" s="7" t="s">
        <v>64</v>
      </c>
      <c r="Z122" s="7" t="s">
        <v>65</v>
      </c>
      <c r="AA122" s="7" t="s">
        <v>42</v>
      </c>
      <c r="AB122" s="7" t="s">
        <v>48</v>
      </c>
      <c r="AC122" s="7" t="s">
        <v>48</v>
      </c>
      <c r="AD122" s="10">
        <f>I122 + Q122 + U122 + W122</f>
      </c>
      <c r="AE122" s="10">
        <f>IF(AD122&lt;=2,0,IF(AD122&lt;=5,1,2))</f>
      </c>
      <c r="AF122" s="7"/>
    </row>
    <row x14ac:dyDescent="0.25" r="123" customHeight="1" ht="17.25" hidden="1">
      <c r="A123" s="7" t="s">
        <v>31</v>
      </c>
      <c r="B123" s="7" t="s">
        <v>66</v>
      </c>
      <c r="C123" s="7" t="s">
        <v>33</v>
      </c>
      <c r="D123" s="10">
        <v>6</v>
      </c>
      <c r="E123" s="7" t="s">
        <v>34</v>
      </c>
      <c r="F123" s="10">
        <v>182</v>
      </c>
      <c r="G123" s="11">
        <v>73</v>
      </c>
      <c r="H123" s="12">
        <f>G123/((F123/100)*(F123/100))</f>
      </c>
      <c r="I123" s="11">
        <f>IF(H123&lt;25,0,IF(H123&lt;30,1,2))</f>
      </c>
      <c r="J123" s="13">
        <v>3</v>
      </c>
      <c r="K123" s="7" t="s">
        <v>72</v>
      </c>
      <c r="L123" s="7" t="s">
        <v>94</v>
      </c>
      <c r="M123" s="7" t="s">
        <v>54</v>
      </c>
      <c r="N123" s="7" t="s">
        <v>38</v>
      </c>
      <c r="O123" s="7" t="s">
        <v>39</v>
      </c>
      <c r="P123" s="7" t="s">
        <v>81</v>
      </c>
      <c r="Q123" s="10">
        <f>IF(P123="None of the above",0,2)</f>
      </c>
      <c r="R123" s="7" t="s">
        <v>89</v>
      </c>
      <c r="S123" s="15" t="s">
        <v>48</v>
      </c>
      <c r="T123" s="7" t="s">
        <v>96</v>
      </c>
      <c r="U123" s="10">
        <f>IF(T123="Heavy physical",0,IF(T123="Moderate activity",1,2))</f>
      </c>
      <c r="V123" s="5" t="s">
        <v>69</v>
      </c>
      <c r="W123" s="10">
        <f>IF(V123="7–8 hours",0,IF(V123="6–7 hours",1,2))</f>
      </c>
      <c r="X123" s="7" t="s">
        <v>83</v>
      </c>
      <c r="Y123" s="7" t="s">
        <v>46</v>
      </c>
      <c r="Z123" s="7" t="s">
        <v>65</v>
      </c>
      <c r="AA123" s="7" t="s">
        <v>42</v>
      </c>
      <c r="AB123" s="7" t="s">
        <v>48</v>
      </c>
      <c r="AC123" s="7" t="s">
        <v>48</v>
      </c>
      <c r="AD123" s="10">
        <f>I123 + Q123 + U123 + W123</f>
      </c>
      <c r="AE123" s="10">
        <f>IF(AD123&lt;=2,0,IF(AD123&lt;=5,1,2))</f>
      </c>
      <c r="AF123" s="7"/>
    </row>
    <row x14ac:dyDescent="0.25" r="124" customHeight="1" ht="17.25" hidden="1">
      <c r="A124" s="7" t="s">
        <v>49</v>
      </c>
      <c r="B124" s="7" t="s">
        <v>32</v>
      </c>
      <c r="C124" s="7" t="s">
        <v>33</v>
      </c>
      <c r="D124" s="10">
        <v>4</v>
      </c>
      <c r="E124" s="7" t="s">
        <v>51</v>
      </c>
      <c r="F124" s="10">
        <v>157</v>
      </c>
      <c r="G124" s="11">
        <v>67</v>
      </c>
      <c r="H124" s="12">
        <f>G124/((F124/100)*(F124/100))</f>
      </c>
      <c r="I124" s="11">
        <f>IF(H124&lt;25,0,IF(H124&lt;30,1,2))</f>
      </c>
      <c r="J124" s="13">
        <v>3</v>
      </c>
      <c r="K124" s="7" t="s">
        <v>72</v>
      </c>
      <c r="L124" s="7" t="s">
        <v>146</v>
      </c>
      <c r="M124" s="7" t="s">
        <v>37</v>
      </c>
      <c r="N124" s="7" t="s">
        <v>38</v>
      </c>
      <c r="O124" s="7" t="s">
        <v>74</v>
      </c>
      <c r="P124" s="7" t="s">
        <v>81</v>
      </c>
      <c r="Q124" s="10">
        <f>IF(P124="None of the above",0,2)</f>
      </c>
      <c r="R124" s="7" t="s">
        <v>89</v>
      </c>
      <c r="S124" s="7" t="s">
        <v>42</v>
      </c>
      <c r="T124" s="7" t="s">
        <v>96</v>
      </c>
      <c r="U124" s="10">
        <f>IF(T124="Heavy physical",0,IF(T124="Moderate activity",1,2))</f>
      </c>
      <c r="V124" s="5" t="s">
        <v>44</v>
      </c>
      <c r="W124" s="10">
        <f>IF(V124="7–8 hours",0,IF(V124="6–7 hours",1,2))</f>
      </c>
      <c r="X124" s="7" t="s">
        <v>45</v>
      </c>
      <c r="Y124" s="7" t="s">
        <v>75</v>
      </c>
      <c r="Z124" s="7" t="s">
        <v>47</v>
      </c>
      <c r="AA124" s="7" t="s">
        <v>42</v>
      </c>
      <c r="AB124" s="7" t="s">
        <v>42</v>
      </c>
      <c r="AC124" s="7" t="s">
        <v>42</v>
      </c>
      <c r="AD124" s="10">
        <f>I124 + Q124 + U124 + W124</f>
      </c>
      <c r="AE124" s="10">
        <f>IF(AD124&lt;=2,0,IF(AD124&lt;=5,1,2))</f>
      </c>
      <c r="AF124" s="7"/>
    </row>
    <row x14ac:dyDescent="0.25" r="125" customHeight="1" ht="17.25" hidden="1">
      <c r="A125" s="7" t="s">
        <v>76</v>
      </c>
      <c r="B125" s="7" t="s">
        <v>84</v>
      </c>
      <c r="C125" s="7" t="s">
        <v>33</v>
      </c>
      <c r="D125" s="10">
        <v>2</v>
      </c>
      <c r="E125" s="7" t="s">
        <v>34</v>
      </c>
      <c r="F125" s="10">
        <v>163</v>
      </c>
      <c r="G125" s="11">
        <v>79</v>
      </c>
      <c r="H125" s="12">
        <f>G125/((F125/100)*(F125/100))</f>
      </c>
      <c r="I125" s="11">
        <f>IF(H125&lt;25,0,IF(H125&lt;30,1,2))</f>
      </c>
      <c r="J125" s="13">
        <v>3</v>
      </c>
      <c r="K125" s="7" t="s">
        <v>72</v>
      </c>
      <c r="L125" s="7" t="s">
        <v>147</v>
      </c>
      <c r="M125" s="7" t="s">
        <v>37</v>
      </c>
      <c r="N125" s="7" t="s">
        <v>38</v>
      </c>
      <c r="O125" s="7" t="s">
        <v>80</v>
      </c>
      <c r="P125" s="7" t="s">
        <v>81</v>
      </c>
      <c r="Q125" s="10">
        <f>IF(P125="None of the above",0,2)</f>
      </c>
      <c r="R125" s="7" t="s">
        <v>89</v>
      </c>
      <c r="S125" s="15" t="s">
        <v>48</v>
      </c>
      <c r="T125" s="7" t="s">
        <v>96</v>
      </c>
      <c r="U125" s="10">
        <f>IF(T125="Heavy physical",0,IF(T125="Moderate activity",1,2))</f>
      </c>
      <c r="V125" s="5" t="s">
        <v>44</v>
      </c>
      <c r="W125" s="10">
        <f>IF(V125="7–8 hours",0,IF(V125="6–7 hours",1,2))</f>
      </c>
      <c r="X125" s="7" t="s">
        <v>83</v>
      </c>
      <c r="Y125" s="7" t="s">
        <v>64</v>
      </c>
      <c r="Z125" s="7" t="s">
        <v>65</v>
      </c>
      <c r="AA125" s="7" t="s">
        <v>42</v>
      </c>
      <c r="AB125" s="7" t="s">
        <v>48</v>
      </c>
      <c r="AC125" s="7" t="s">
        <v>42</v>
      </c>
      <c r="AD125" s="10">
        <f>I125 + Q125 + U125 + W125</f>
      </c>
      <c r="AE125" s="10">
        <f>IF(AD125&lt;=2,0,IF(AD125&lt;=5,1,2))</f>
      </c>
      <c r="AF125" s="7"/>
    </row>
    <row x14ac:dyDescent="0.25" r="126" customHeight="1" ht="17.25" hidden="1">
      <c r="A126" s="7" t="s">
        <v>49</v>
      </c>
      <c r="B126" s="7" t="s">
        <v>59</v>
      </c>
      <c r="C126" s="7" t="s">
        <v>33</v>
      </c>
      <c r="D126" s="10">
        <v>2</v>
      </c>
      <c r="E126" s="7" t="s">
        <v>34</v>
      </c>
      <c r="F126" s="10">
        <v>146</v>
      </c>
      <c r="G126" s="11">
        <v>109</v>
      </c>
      <c r="H126" s="12">
        <f>G126/((F126/100)*(F126/100))</f>
      </c>
      <c r="I126" s="11">
        <f>IF(H126&lt;25,0,IF(H126&lt;30,1,2))</f>
      </c>
      <c r="J126" s="13">
        <v>1</v>
      </c>
      <c r="K126" s="7" t="s">
        <v>35</v>
      </c>
      <c r="L126" s="7" t="s">
        <v>129</v>
      </c>
      <c r="M126" s="7" t="s">
        <v>37</v>
      </c>
      <c r="N126" s="7" t="s">
        <v>38</v>
      </c>
      <c r="O126" s="7" t="s">
        <v>74</v>
      </c>
      <c r="P126" s="7" t="s">
        <v>40</v>
      </c>
      <c r="Q126" s="10">
        <f>IF(P126="None of the above",0,2)</f>
      </c>
      <c r="R126" s="15" t="s">
        <v>56</v>
      </c>
      <c r="S126" s="7" t="s">
        <v>42</v>
      </c>
      <c r="T126" s="7" t="s">
        <v>96</v>
      </c>
      <c r="U126" s="10">
        <f>IF(T126="Heavy physical",0,IF(T126="Moderate activity",1,2))</f>
      </c>
      <c r="V126" s="5" t="s">
        <v>44</v>
      </c>
      <c r="W126" s="10">
        <f>IF(V126="7–8 hours",0,IF(V126="6–7 hours",1,2))</f>
      </c>
      <c r="X126" s="7" t="s">
        <v>83</v>
      </c>
      <c r="Y126" s="7" t="s">
        <v>75</v>
      </c>
      <c r="Z126" s="7" t="s">
        <v>45</v>
      </c>
      <c r="AA126" s="7" t="s">
        <v>42</v>
      </c>
      <c r="AB126" s="7" t="s">
        <v>42</v>
      </c>
      <c r="AC126" s="7" t="s">
        <v>42</v>
      </c>
      <c r="AD126" s="10">
        <f>I126 + Q126 + U126 + W126</f>
      </c>
      <c r="AE126" s="10">
        <f>IF(AD126&lt;=2,0,IF(AD126&lt;=5,1,2))</f>
      </c>
      <c r="AF126" s="7"/>
    </row>
    <row x14ac:dyDescent="0.25" r="127" customHeight="1" ht="17.25" hidden="1">
      <c r="A127" s="7" t="s">
        <v>31</v>
      </c>
      <c r="B127" s="7" t="s">
        <v>32</v>
      </c>
      <c r="C127" s="7" t="s">
        <v>33</v>
      </c>
      <c r="D127" s="10">
        <v>1</v>
      </c>
      <c r="E127" s="7" t="s">
        <v>34</v>
      </c>
      <c r="F127" s="10">
        <v>194</v>
      </c>
      <c r="G127" s="11">
        <v>100</v>
      </c>
      <c r="H127" s="12">
        <f>G127/((F127/100)*(F127/100))</f>
      </c>
      <c r="I127" s="11">
        <f>IF(H127&lt;25,0,IF(H127&lt;30,1,2))</f>
      </c>
      <c r="J127" s="13">
        <v>3</v>
      </c>
      <c r="K127" s="7" t="s">
        <v>61</v>
      </c>
      <c r="L127" s="7" t="s">
        <v>94</v>
      </c>
      <c r="M127" s="7" t="s">
        <v>41</v>
      </c>
      <c r="N127" s="7" t="s">
        <v>38</v>
      </c>
      <c r="O127" s="7" t="s">
        <v>39</v>
      </c>
      <c r="P127" s="7" t="s">
        <v>81</v>
      </c>
      <c r="Q127" s="10">
        <f>IF(P127="None of the above",0,2)</f>
      </c>
      <c r="R127" s="7" t="s">
        <v>89</v>
      </c>
      <c r="S127" s="15" t="s">
        <v>48</v>
      </c>
      <c r="T127" s="7" t="s">
        <v>99</v>
      </c>
      <c r="U127" s="10">
        <f>IF(T127="Heavy physical",0,IF(T127="Moderate activity",1,2))</f>
      </c>
      <c r="V127" s="5" t="s">
        <v>57</v>
      </c>
      <c r="W127" s="10">
        <f>IF(V127="7–8 hours",0,IF(V127="6–7 hours",1,2))</f>
      </c>
      <c r="X127" s="7" t="s">
        <v>102</v>
      </c>
      <c r="Y127" s="7" t="s">
        <v>64</v>
      </c>
      <c r="Z127" s="7" t="s">
        <v>92</v>
      </c>
      <c r="AA127" s="7" t="s">
        <v>48</v>
      </c>
      <c r="AB127" s="7" t="s">
        <v>48</v>
      </c>
      <c r="AC127" s="7" t="s">
        <v>48</v>
      </c>
      <c r="AD127" s="10">
        <f>I127 + Q127 + U127 + W127</f>
      </c>
      <c r="AE127" s="10">
        <f>IF(AD127&lt;=2,0,IF(AD127&lt;=5,1,2))</f>
      </c>
      <c r="AF127" s="7"/>
    </row>
    <row x14ac:dyDescent="0.25" r="128" customHeight="1" ht="17.25" hidden="1">
      <c r="A128" s="7" t="s">
        <v>49</v>
      </c>
      <c r="B128" s="7" t="s">
        <v>93</v>
      </c>
      <c r="C128" s="7" t="s">
        <v>33</v>
      </c>
      <c r="D128" s="10">
        <v>6</v>
      </c>
      <c r="E128" s="7" t="s">
        <v>51</v>
      </c>
      <c r="F128" s="10">
        <v>196</v>
      </c>
      <c r="G128" s="11">
        <v>119</v>
      </c>
      <c r="H128" s="12">
        <f>G128/((F128/100)*(F128/100))</f>
      </c>
      <c r="I128" s="11">
        <f>IF(H128&lt;25,0,IF(H128&lt;30,1,2))</f>
      </c>
      <c r="J128" s="13">
        <v>2</v>
      </c>
      <c r="K128" s="7" t="s">
        <v>72</v>
      </c>
      <c r="L128" s="7" t="s">
        <v>101</v>
      </c>
      <c r="M128" s="7" t="s">
        <v>37</v>
      </c>
      <c r="N128" s="7" t="s">
        <v>38</v>
      </c>
      <c r="O128" s="7" t="s">
        <v>80</v>
      </c>
      <c r="P128" s="7" t="s">
        <v>81</v>
      </c>
      <c r="Q128" s="10">
        <f>IF(P128="None of the above",0,2)</f>
      </c>
      <c r="R128" s="7" t="s">
        <v>89</v>
      </c>
      <c r="S128" s="7" t="s">
        <v>42</v>
      </c>
      <c r="T128" s="7" t="s">
        <v>96</v>
      </c>
      <c r="U128" s="10">
        <f>IF(T128="Heavy physical",0,IF(T128="Moderate activity",1,2))</f>
      </c>
      <c r="V128" s="5" t="s">
        <v>97</v>
      </c>
      <c r="W128" s="10">
        <f>IF(V128="7–8 hours",0,IF(V128="6–7 hours",1,2))</f>
      </c>
      <c r="X128" s="7" t="s">
        <v>70</v>
      </c>
      <c r="Y128" s="7" t="s">
        <v>75</v>
      </c>
      <c r="Z128" s="7" t="s">
        <v>65</v>
      </c>
      <c r="AA128" s="7" t="s">
        <v>42</v>
      </c>
      <c r="AB128" s="7" t="s">
        <v>42</v>
      </c>
      <c r="AC128" s="7" t="s">
        <v>42</v>
      </c>
      <c r="AD128" s="10">
        <f>I128 + Q128 + U128 + W128</f>
      </c>
      <c r="AE128" s="10">
        <f>IF(AD128&lt;=2,0,IF(AD128&lt;=5,1,2))</f>
      </c>
      <c r="AF128" s="7"/>
    </row>
    <row x14ac:dyDescent="0.25" r="129" customHeight="1" ht="17.25" hidden="1">
      <c r="A129" s="7" t="s">
        <v>76</v>
      </c>
      <c r="B129" s="7" t="s">
        <v>66</v>
      </c>
      <c r="C129" s="7" t="s">
        <v>33</v>
      </c>
      <c r="D129" s="10">
        <v>3</v>
      </c>
      <c r="E129" s="7" t="s">
        <v>51</v>
      </c>
      <c r="F129" s="10">
        <v>170</v>
      </c>
      <c r="G129" s="11">
        <v>66</v>
      </c>
      <c r="H129" s="12">
        <f>G129/((F129/100)*(F129/100))</f>
      </c>
      <c r="I129" s="11">
        <f>IF(H129&lt;25,0,IF(H129&lt;30,1,2))</f>
      </c>
      <c r="J129" s="13">
        <v>3</v>
      </c>
      <c r="K129" s="7" t="s">
        <v>105</v>
      </c>
      <c r="L129" s="7" t="s">
        <v>161</v>
      </c>
      <c r="M129" s="7" t="s">
        <v>41</v>
      </c>
      <c r="N129" s="7" t="s">
        <v>38</v>
      </c>
      <c r="O129" s="7" t="s">
        <v>68</v>
      </c>
      <c r="P129" s="7" t="s">
        <v>81</v>
      </c>
      <c r="Q129" s="10">
        <f>IF(P129="None of the above",0,2)</f>
      </c>
      <c r="R129" s="7" t="s">
        <v>89</v>
      </c>
      <c r="S129" s="15" t="s">
        <v>48</v>
      </c>
      <c r="T129" s="7" t="s">
        <v>96</v>
      </c>
      <c r="U129" s="10">
        <f>IF(T129="Heavy physical",0,IF(T129="Moderate activity",1,2))</f>
      </c>
      <c r="V129" s="5" t="s">
        <v>57</v>
      </c>
      <c r="W129" s="10">
        <f>IF(V129="7–8 hours",0,IF(V129="6–7 hours",1,2))</f>
      </c>
      <c r="X129" s="7" t="s">
        <v>45</v>
      </c>
      <c r="Y129" s="7" t="s">
        <v>46</v>
      </c>
      <c r="Z129" s="7" t="s">
        <v>45</v>
      </c>
      <c r="AA129" s="7" t="s">
        <v>42</v>
      </c>
      <c r="AB129" s="7" t="s">
        <v>42</v>
      </c>
      <c r="AC129" s="7" t="s">
        <v>42</v>
      </c>
      <c r="AD129" s="10">
        <f>I129 + Q129 + U129 + W129</f>
      </c>
      <c r="AE129" s="10">
        <f>IF(AD129&lt;=2,0,IF(AD129&lt;=5,1,2))</f>
      </c>
      <c r="AF129" s="7"/>
    </row>
    <row x14ac:dyDescent="0.25" r="130" customHeight="1" ht="17.25" hidden="1">
      <c r="A130" s="7" t="s">
        <v>49</v>
      </c>
      <c r="B130" s="7" t="s">
        <v>71</v>
      </c>
      <c r="C130" s="7" t="s">
        <v>141</v>
      </c>
      <c r="D130" s="10">
        <v>7</v>
      </c>
      <c r="E130" s="7" t="s">
        <v>34</v>
      </c>
      <c r="F130" s="10">
        <v>161</v>
      </c>
      <c r="G130" s="11">
        <v>71</v>
      </c>
      <c r="H130" s="12">
        <f>G130/((F130/100)*(F130/100))</f>
      </c>
      <c r="I130" s="11">
        <f>IF(H130&lt;25,0,IF(H130&lt;30,1,2))</f>
      </c>
      <c r="J130" s="13">
        <v>2</v>
      </c>
      <c r="K130" s="7" t="s">
        <v>86</v>
      </c>
      <c r="L130" s="7" t="s">
        <v>162</v>
      </c>
      <c r="M130" s="7" t="s">
        <v>41</v>
      </c>
      <c r="N130" s="7" t="s">
        <v>38</v>
      </c>
      <c r="O130" s="7" t="s">
        <v>80</v>
      </c>
      <c r="P130" s="7" t="s">
        <v>40</v>
      </c>
      <c r="Q130" s="10">
        <f>IF(P130="None of the above",0,2)</f>
      </c>
      <c r="R130" s="7" t="s">
        <v>56</v>
      </c>
      <c r="S130" s="15" t="s">
        <v>48</v>
      </c>
      <c r="T130" s="7" t="s">
        <v>96</v>
      </c>
      <c r="U130" s="10">
        <f>IF(T130="Heavy physical",0,IF(T130="Moderate activity",1,2))</f>
      </c>
      <c r="V130" s="5" t="s">
        <v>97</v>
      </c>
      <c r="W130" s="10">
        <f>IF(V130="7–8 hours",0,IF(V130="6–7 hours",1,2))</f>
      </c>
      <c r="X130" s="7" t="s">
        <v>45</v>
      </c>
      <c r="Y130" s="7" t="s">
        <v>58</v>
      </c>
      <c r="Z130" s="7" t="s">
        <v>45</v>
      </c>
      <c r="AA130" s="7" t="s">
        <v>48</v>
      </c>
      <c r="AB130" s="7" t="s">
        <v>42</v>
      </c>
      <c r="AC130" s="7" t="s">
        <v>42</v>
      </c>
      <c r="AD130" s="10">
        <f>I130 + Q130 + U130 + W130</f>
      </c>
      <c r="AE130" s="10">
        <f>IF(AD130&lt;=2,0,IF(AD130&lt;=5,1,2))</f>
      </c>
      <c r="AF130" s="7"/>
    </row>
    <row x14ac:dyDescent="0.25" r="131" customHeight="1" ht="17.25" hidden="1">
      <c r="A131" s="7" t="s">
        <v>76</v>
      </c>
      <c r="B131" s="7" t="s">
        <v>93</v>
      </c>
      <c r="C131" s="7" t="s">
        <v>50</v>
      </c>
      <c r="D131" s="10">
        <v>4</v>
      </c>
      <c r="E131" s="7" t="s">
        <v>51</v>
      </c>
      <c r="F131" s="10">
        <v>194</v>
      </c>
      <c r="G131" s="11">
        <v>77</v>
      </c>
      <c r="H131" s="12">
        <f>G131/((F131/100)*(F131/100))</f>
      </c>
      <c r="I131" s="11">
        <f>IF(H131&lt;25,0,IF(H131&lt;30,1,2))</f>
      </c>
      <c r="J131" s="13">
        <v>2</v>
      </c>
      <c r="K131" s="7" t="s">
        <v>61</v>
      </c>
      <c r="L131" s="7" t="s">
        <v>163</v>
      </c>
      <c r="M131" s="7" t="s">
        <v>41</v>
      </c>
      <c r="N131" s="7" t="s">
        <v>38</v>
      </c>
      <c r="O131" s="7" t="s">
        <v>39</v>
      </c>
      <c r="P131" s="7" t="s">
        <v>81</v>
      </c>
      <c r="Q131" s="10">
        <f>IF(P131="None of the above",0,2)</f>
      </c>
      <c r="R131" s="7" t="s">
        <v>89</v>
      </c>
      <c r="S131" s="7" t="s">
        <v>42</v>
      </c>
      <c r="T131" s="7" t="s">
        <v>96</v>
      </c>
      <c r="U131" s="10">
        <f>IF(T131="Heavy physical",0,IF(T131="Moderate activity",1,2))</f>
      </c>
      <c r="V131" s="5" t="s">
        <v>97</v>
      </c>
      <c r="W131" s="10">
        <f>IF(V131="7–8 hours",0,IF(V131="6–7 hours",1,2))</f>
      </c>
      <c r="X131" s="7" t="s">
        <v>70</v>
      </c>
      <c r="Y131" s="7" t="s">
        <v>75</v>
      </c>
      <c r="Z131" s="7" t="s">
        <v>45</v>
      </c>
      <c r="AA131" s="7" t="s">
        <v>42</v>
      </c>
      <c r="AB131" s="7" t="s">
        <v>42</v>
      </c>
      <c r="AC131" s="7" t="s">
        <v>42</v>
      </c>
      <c r="AD131" s="10">
        <f>I131 + Q131 + U131 + W131</f>
      </c>
      <c r="AE131" s="10">
        <f>IF(AD131&lt;=2,0,IF(AD131&lt;=5,1,2))</f>
      </c>
      <c r="AF131" s="7"/>
    </row>
    <row x14ac:dyDescent="0.25" r="132" customHeight="1" ht="17.25" hidden="1">
      <c r="A132" s="7" t="s">
        <v>31</v>
      </c>
      <c r="B132" s="7" t="s">
        <v>77</v>
      </c>
      <c r="C132" s="7" t="s">
        <v>141</v>
      </c>
      <c r="D132" s="10">
        <v>5</v>
      </c>
      <c r="E132" s="7" t="s">
        <v>34</v>
      </c>
      <c r="F132" s="10">
        <v>159</v>
      </c>
      <c r="G132" s="11">
        <v>89</v>
      </c>
      <c r="H132" s="12">
        <f>G132/((F132/100)*(F132/100))</f>
      </c>
      <c r="I132" s="11">
        <f>IF(H132&lt;25,0,IF(H132&lt;30,1,2))</f>
      </c>
      <c r="J132" s="13">
        <v>3</v>
      </c>
      <c r="K132" s="7" t="s">
        <v>86</v>
      </c>
      <c r="L132" s="7" t="s">
        <v>133</v>
      </c>
      <c r="M132" s="7" t="s">
        <v>54</v>
      </c>
      <c r="N132" s="7" t="s">
        <v>38</v>
      </c>
      <c r="O132" s="7" t="s">
        <v>39</v>
      </c>
      <c r="P132" s="7" t="s">
        <v>81</v>
      </c>
      <c r="Q132" s="10">
        <f>IF(P132="None of the above",0,2)</f>
      </c>
      <c r="R132" s="7" t="s">
        <v>89</v>
      </c>
      <c r="S132" s="15" t="s">
        <v>48</v>
      </c>
      <c r="T132" s="7" t="s">
        <v>99</v>
      </c>
      <c r="U132" s="10">
        <f>IF(T132="Heavy physical",0,IF(T132="Moderate activity",1,2))</f>
      </c>
      <c r="V132" s="5" t="s">
        <v>57</v>
      </c>
      <c r="W132" s="10">
        <f>IF(V132="7–8 hours",0,IF(V132="6–7 hours",1,2))</f>
      </c>
      <c r="X132" s="7" t="s">
        <v>45</v>
      </c>
      <c r="Y132" s="7" t="s">
        <v>64</v>
      </c>
      <c r="Z132" s="7" t="s">
        <v>65</v>
      </c>
      <c r="AA132" s="7" t="s">
        <v>48</v>
      </c>
      <c r="AB132" s="7" t="s">
        <v>42</v>
      </c>
      <c r="AC132" s="7" t="s">
        <v>42</v>
      </c>
      <c r="AD132" s="10">
        <f>I132 + Q132 + U132 + W132</f>
      </c>
      <c r="AE132" s="10">
        <f>IF(AD132&lt;=2,0,IF(AD132&lt;=5,1,2))</f>
      </c>
      <c r="AF132" s="7"/>
    </row>
    <row x14ac:dyDescent="0.25" r="133" customHeight="1" ht="17.25" hidden="1">
      <c r="A133" s="7" t="s">
        <v>49</v>
      </c>
      <c r="B133" s="7" t="s">
        <v>84</v>
      </c>
      <c r="C133" s="7" t="s">
        <v>50</v>
      </c>
      <c r="D133" s="10">
        <v>1</v>
      </c>
      <c r="E133" s="7" t="s">
        <v>51</v>
      </c>
      <c r="F133" s="10">
        <v>183</v>
      </c>
      <c r="G133" s="11">
        <v>98</v>
      </c>
      <c r="H133" s="12">
        <f>G133/((F133/100)*(F133/100))</f>
      </c>
      <c r="I133" s="11">
        <f>IF(H133&lt;25,0,IF(H133&lt;30,1,2))</f>
      </c>
      <c r="J133" s="13">
        <v>2</v>
      </c>
      <c r="K133" s="7" t="s">
        <v>72</v>
      </c>
      <c r="L133" s="7" t="s">
        <v>164</v>
      </c>
      <c r="M133" s="7" t="s">
        <v>41</v>
      </c>
      <c r="N133" s="7" t="s">
        <v>38</v>
      </c>
      <c r="O133" s="7" t="s">
        <v>39</v>
      </c>
      <c r="P133" s="7" t="s">
        <v>132</v>
      </c>
      <c r="Q133" s="10">
        <f>IF(P133="None of the above",0,2)</f>
      </c>
      <c r="R133" s="15" t="s">
        <v>56</v>
      </c>
      <c r="S133" s="15" t="s">
        <v>48</v>
      </c>
      <c r="T133" s="7" t="s">
        <v>96</v>
      </c>
      <c r="U133" s="10">
        <f>IF(T133="Heavy physical",0,IF(T133="Moderate activity",1,2))</f>
      </c>
      <c r="V133" s="5" t="s">
        <v>57</v>
      </c>
      <c r="W133" s="10">
        <f>IF(V133="7–8 hours",0,IF(V133="6–7 hours",1,2))</f>
      </c>
      <c r="X133" s="7" t="s">
        <v>83</v>
      </c>
      <c r="Y133" s="7" t="s">
        <v>64</v>
      </c>
      <c r="Z133" s="7" t="s">
        <v>45</v>
      </c>
      <c r="AA133" s="7" t="s">
        <v>42</v>
      </c>
      <c r="AB133" s="7" t="s">
        <v>42</v>
      </c>
      <c r="AC133" s="7" t="s">
        <v>42</v>
      </c>
      <c r="AD133" s="10">
        <f>I133 + Q133 + U133 + W133</f>
      </c>
      <c r="AE133" s="10">
        <f>IF(AD133&lt;=2,0,IF(AD133&lt;=5,1,2))</f>
      </c>
      <c r="AF133" s="7"/>
    </row>
    <row x14ac:dyDescent="0.25" r="134" customHeight="1" ht="17.25" hidden="1">
      <c r="A134" s="7" t="s">
        <v>31</v>
      </c>
      <c r="B134" s="7" t="s">
        <v>77</v>
      </c>
      <c r="C134" s="16" t="s">
        <v>126</v>
      </c>
      <c r="D134" s="10">
        <v>1</v>
      </c>
      <c r="E134" s="7" t="s">
        <v>34</v>
      </c>
      <c r="F134" s="10">
        <v>153</v>
      </c>
      <c r="G134" s="11">
        <v>48</v>
      </c>
      <c r="H134" s="12">
        <f>G134/((F134/100)*(F134/100))</f>
      </c>
      <c r="I134" s="11">
        <f>IF(H134&lt;25,0,IF(H134&lt;30,1,2))</f>
      </c>
      <c r="J134" s="13">
        <v>1</v>
      </c>
      <c r="K134" s="7" t="s">
        <v>105</v>
      </c>
      <c r="L134" s="7" t="s">
        <v>36</v>
      </c>
      <c r="M134" s="7" t="s">
        <v>41</v>
      </c>
      <c r="N134" s="7" t="s">
        <v>38</v>
      </c>
      <c r="O134" s="7" t="s">
        <v>80</v>
      </c>
      <c r="P134" s="7" t="s">
        <v>81</v>
      </c>
      <c r="Q134" s="10">
        <f>IF(P134="None of the above",0,2)</f>
      </c>
      <c r="R134" s="7" t="s">
        <v>89</v>
      </c>
      <c r="S134" s="7" t="s">
        <v>42</v>
      </c>
      <c r="T134" s="7" t="s">
        <v>96</v>
      </c>
      <c r="U134" s="10">
        <f>IF(T134="Heavy physical",0,IF(T134="Moderate activity",1,2))</f>
      </c>
      <c r="V134" s="5" t="s">
        <v>57</v>
      </c>
      <c r="W134" s="10">
        <f>IF(V134="7–8 hours",0,IF(V134="6–7 hours",1,2))</f>
      </c>
      <c r="X134" s="7" t="s">
        <v>45</v>
      </c>
      <c r="Y134" s="7" t="s">
        <v>46</v>
      </c>
      <c r="Z134" s="7" t="s">
        <v>65</v>
      </c>
      <c r="AA134" s="7" t="s">
        <v>42</v>
      </c>
      <c r="AB134" s="7" t="s">
        <v>42</v>
      </c>
      <c r="AC134" s="7" t="s">
        <v>42</v>
      </c>
      <c r="AD134" s="10">
        <f>I134 + Q134 + U134 + W134</f>
      </c>
      <c r="AE134" s="10">
        <f>IF(AD134&lt;=2,0,IF(AD134&lt;=5,1,2))</f>
      </c>
      <c r="AF134" s="7"/>
    </row>
    <row x14ac:dyDescent="0.25" r="135" customHeight="1" ht="17.25" hidden="1">
      <c r="A135" s="7" t="s">
        <v>76</v>
      </c>
      <c r="B135" s="7" t="s">
        <v>93</v>
      </c>
      <c r="C135" s="7" t="s">
        <v>50</v>
      </c>
      <c r="D135" s="10">
        <v>4</v>
      </c>
      <c r="E135" s="7" t="s">
        <v>34</v>
      </c>
      <c r="F135" s="10">
        <v>171</v>
      </c>
      <c r="G135" s="11">
        <v>84</v>
      </c>
      <c r="H135" s="12">
        <f>G135/((F135/100)*(F135/100))</f>
      </c>
      <c r="I135" s="11">
        <f>IF(H135&lt;25,0,IF(H135&lt;30,1,2))</f>
      </c>
      <c r="J135" s="13">
        <v>3</v>
      </c>
      <c r="K135" s="7" t="s">
        <v>72</v>
      </c>
      <c r="L135" s="7" t="s">
        <v>147</v>
      </c>
      <c r="M135" s="7" t="s">
        <v>37</v>
      </c>
      <c r="N135" s="7" t="s">
        <v>38</v>
      </c>
      <c r="O135" s="7" t="s">
        <v>68</v>
      </c>
      <c r="P135" s="7" t="s">
        <v>55</v>
      </c>
      <c r="Q135" s="10">
        <f>IF(P135="None of the above",0,2)</f>
      </c>
      <c r="R135" s="15" t="s">
        <v>56</v>
      </c>
      <c r="S135" s="15" t="s">
        <v>48</v>
      </c>
      <c r="T135" s="7" t="s">
        <v>96</v>
      </c>
      <c r="U135" s="10">
        <f>IF(T135="Heavy physical",0,IF(T135="Moderate activity",1,2))</f>
      </c>
      <c r="V135" s="5" t="s">
        <v>97</v>
      </c>
      <c r="W135" s="10">
        <f>IF(V135="7–8 hours",0,IF(V135="6–7 hours",1,2))</f>
      </c>
      <c r="X135" s="7" t="s">
        <v>102</v>
      </c>
      <c r="Y135" s="7" t="s">
        <v>58</v>
      </c>
      <c r="Z135" s="7" t="s">
        <v>65</v>
      </c>
      <c r="AA135" s="7" t="s">
        <v>48</v>
      </c>
      <c r="AB135" s="7" t="s">
        <v>42</v>
      </c>
      <c r="AC135" s="7" t="s">
        <v>48</v>
      </c>
      <c r="AD135" s="10">
        <f>I135 + Q135 + U135 + W135</f>
      </c>
      <c r="AE135" s="10">
        <f>IF(AD135&lt;=2,0,IF(AD135&lt;=5,1,2))</f>
      </c>
      <c r="AF135" s="7"/>
    </row>
    <row x14ac:dyDescent="0.25" r="136" customHeight="1" ht="17.25" hidden="1">
      <c r="A136" s="7" t="s">
        <v>31</v>
      </c>
      <c r="B136" s="7" t="s">
        <v>84</v>
      </c>
      <c r="C136" s="7" t="s">
        <v>122</v>
      </c>
      <c r="D136" s="10">
        <v>2</v>
      </c>
      <c r="E136" s="7" t="s">
        <v>34</v>
      </c>
      <c r="F136" s="10">
        <v>181</v>
      </c>
      <c r="G136" s="11">
        <v>56</v>
      </c>
      <c r="H136" s="12">
        <f>G136/((F136/100)*(F136/100))</f>
      </c>
      <c r="I136" s="11">
        <f>IF(H136&lt;25,0,IF(H136&lt;30,1,2))</f>
      </c>
      <c r="J136" s="13">
        <v>2</v>
      </c>
      <c r="K136" s="7" t="s">
        <v>35</v>
      </c>
      <c r="L136" s="7" t="s">
        <v>129</v>
      </c>
      <c r="M136" s="7" t="s">
        <v>41</v>
      </c>
      <c r="N136" s="7" t="s">
        <v>38</v>
      </c>
      <c r="O136" s="7" t="s">
        <v>74</v>
      </c>
      <c r="P136" s="7" t="s">
        <v>81</v>
      </c>
      <c r="Q136" s="10">
        <f>IF(P136="None of the above",0,2)</f>
      </c>
      <c r="R136" s="7" t="s">
        <v>89</v>
      </c>
      <c r="S136" s="7" t="s">
        <v>42</v>
      </c>
      <c r="T136" s="7" t="s">
        <v>96</v>
      </c>
      <c r="U136" s="10">
        <f>IF(T136="Heavy physical",0,IF(T136="Moderate activity",1,2))</f>
      </c>
      <c r="V136" s="5" t="s">
        <v>57</v>
      </c>
      <c r="W136" s="10">
        <f>IF(V136="7–8 hours",0,IF(V136="6–7 hours",1,2))</f>
      </c>
      <c r="X136" s="7" t="s">
        <v>45</v>
      </c>
      <c r="Y136" s="7" t="s">
        <v>64</v>
      </c>
      <c r="Z136" s="7" t="s">
        <v>65</v>
      </c>
      <c r="AA136" s="7" t="s">
        <v>42</v>
      </c>
      <c r="AB136" s="7" t="s">
        <v>48</v>
      </c>
      <c r="AC136" s="7" t="s">
        <v>48</v>
      </c>
      <c r="AD136" s="10">
        <f>I136 + Q136 + U136 + W136</f>
      </c>
      <c r="AE136" s="10">
        <f>IF(AD136&lt;=2,0,IF(AD136&lt;=5,1,2))</f>
      </c>
      <c r="AF136" s="7"/>
    </row>
    <row x14ac:dyDescent="0.25" r="137" customHeight="1" ht="17.25" hidden="1">
      <c r="A137" s="7" t="s">
        <v>49</v>
      </c>
      <c r="B137" s="7" t="s">
        <v>71</v>
      </c>
      <c r="C137" s="7" t="s">
        <v>33</v>
      </c>
      <c r="D137" s="10">
        <v>5</v>
      </c>
      <c r="E137" s="7" t="s">
        <v>34</v>
      </c>
      <c r="F137" s="10">
        <v>157</v>
      </c>
      <c r="G137" s="11">
        <v>76</v>
      </c>
      <c r="H137" s="12">
        <f>G137/((F137/100)*(F137/100))</f>
      </c>
      <c r="I137" s="11">
        <f>IF(H137&lt;25,0,IF(H137&lt;30,1,2))</f>
      </c>
      <c r="J137" s="13">
        <v>2</v>
      </c>
      <c r="K137" s="7" t="s">
        <v>72</v>
      </c>
      <c r="L137" s="7" t="s">
        <v>145</v>
      </c>
      <c r="M137" s="7" t="s">
        <v>37</v>
      </c>
      <c r="N137" s="7" t="s">
        <v>38</v>
      </c>
      <c r="O137" s="7" t="s">
        <v>39</v>
      </c>
      <c r="P137" s="7" t="s">
        <v>40</v>
      </c>
      <c r="Q137" s="10">
        <f>IF(P137="None of the above",0,2)</f>
      </c>
      <c r="R137" s="15" t="s">
        <v>56</v>
      </c>
      <c r="S137" s="15" t="s">
        <v>48</v>
      </c>
      <c r="T137" s="7" t="s">
        <v>96</v>
      </c>
      <c r="U137" s="10">
        <f>IF(T137="Heavy physical",0,IF(T137="Moderate activity",1,2))</f>
      </c>
      <c r="V137" s="5" t="s">
        <v>57</v>
      </c>
      <c r="W137" s="10">
        <f>IF(V137="7–8 hours",0,IF(V137="6–7 hours",1,2))</f>
      </c>
      <c r="X137" s="7" t="s">
        <v>45</v>
      </c>
      <c r="Y137" s="7" t="s">
        <v>75</v>
      </c>
      <c r="Z137" s="7" t="s">
        <v>45</v>
      </c>
      <c r="AA137" s="7" t="s">
        <v>42</v>
      </c>
      <c r="AB137" s="7" t="s">
        <v>48</v>
      </c>
      <c r="AC137" s="7" t="s">
        <v>42</v>
      </c>
      <c r="AD137" s="10">
        <f>I137 + Q137 + U137 + W137</f>
      </c>
      <c r="AE137" s="10">
        <f>IF(AD137&lt;=2,0,IF(AD137&lt;=5,1,2))</f>
      </c>
      <c r="AF137" s="7"/>
    </row>
    <row x14ac:dyDescent="0.25" r="138" customHeight="1" ht="17.25" hidden="1">
      <c r="A138" s="7" t="s">
        <v>49</v>
      </c>
      <c r="B138" s="7" t="s">
        <v>66</v>
      </c>
      <c r="C138" s="7" t="s">
        <v>120</v>
      </c>
      <c r="D138" s="10">
        <v>1</v>
      </c>
      <c r="E138" s="7" t="s">
        <v>34</v>
      </c>
      <c r="F138" s="10">
        <v>142</v>
      </c>
      <c r="G138" s="11">
        <v>63</v>
      </c>
      <c r="H138" s="12">
        <f>G138/((F138/100)*(F138/100))</f>
      </c>
      <c r="I138" s="11">
        <f>IF(H138&lt;25,0,IF(H138&lt;30,1,2))</f>
      </c>
      <c r="J138" s="13">
        <v>2</v>
      </c>
      <c r="K138" s="7" t="s">
        <v>105</v>
      </c>
      <c r="L138" s="7" t="s">
        <v>36</v>
      </c>
      <c r="M138" s="7" t="s">
        <v>54</v>
      </c>
      <c r="N138" s="7" t="s">
        <v>38</v>
      </c>
      <c r="O138" s="7" t="s">
        <v>74</v>
      </c>
      <c r="P138" s="7" t="s">
        <v>81</v>
      </c>
      <c r="Q138" s="10">
        <f>IF(P138="None of the above",0,2)</f>
      </c>
      <c r="R138" s="7" t="s">
        <v>56</v>
      </c>
      <c r="S138" s="15" t="s">
        <v>48</v>
      </c>
      <c r="T138" s="7" t="s">
        <v>96</v>
      </c>
      <c r="U138" s="10">
        <f>IF(T138="Heavy physical",0,IF(T138="Moderate activity",1,2))</f>
      </c>
      <c r="V138" s="5" t="s">
        <v>44</v>
      </c>
      <c r="W138" s="10">
        <f>IF(V138="7–8 hours",0,IF(V138="6–7 hours",1,2))</f>
      </c>
      <c r="X138" s="7" t="s">
        <v>102</v>
      </c>
      <c r="Y138" s="7" t="s">
        <v>46</v>
      </c>
      <c r="Z138" s="7" t="s">
        <v>65</v>
      </c>
      <c r="AA138" s="7" t="s">
        <v>42</v>
      </c>
      <c r="AB138" s="7" t="s">
        <v>48</v>
      </c>
      <c r="AC138" s="7" t="s">
        <v>48</v>
      </c>
      <c r="AD138" s="10">
        <f>I138 + Q138 + U138 + W138</f>
      </c>
      <c r="AE138" s="10">
        <f>IF(AD138&lt;=2,0,IF(AD138&lt;=5,1,2))</f>
      </c>
      <c r="AF138" s="7"/>
    </row>
    <row x14ac:dyDescent="0.25" r="139" customHeight="1" ht="17.25" hidden="1">
      <c r="A139" s="7" t="s">
        <v>49</v>
      </c>
      <c r="B139" s="7" t="s">
        <v>93</v>
      </c>
      <c r="C139" s="7" t="s">
        <v>50</v>
      </c>
      <c r="D139" s="10">
        <v>6</v>
      </c>
      <c r="E139" s="7" t="s">
        <v>51</v>
      </c>
      <c r="F139" s="10">
        <v>170</v>
      </c>
      <c r="G139" s="11">
        <v>79</v>
      </c>
      <c r="H139" s="12">
        <f>G139/((F139/100)*(F139/100))</f>
      </c>
      <c r="I139" s="11">
        <f>IF(H139&lt;25,0,IF(H139&lt;30,1,2))</f>
      </c>
      <c r="J139" s="13">
        <v>2</v>
      </c>
      <c r="K139" s="7" t="s">
        <v>61</v>
      </c>
      <c r="L139" s="7" t="s">
        <v>108</v>
      </c>
      <c r="M139" s="7" t="s">
        <v>37</v>
      </c>
      <c r="N139" s="7" t="s">
        <v>38</v>
      </c>
      <c r="O139" s="7" t="s">
        <v>68</v>
      </c>
      <c r="P139" s="7" t="s">
        <v>55</v>
      </c>
      <c r="Q139" s="10">
        <f>IF(P139="None of the above",0,2)</f>
      </c>
      <c r="R139" s="15" t="s">
        <v>56</v>
      </c>
      <c r="S139" s="15" t="s">
        <v>48</v>
      </c>
      <c r="T139" s="7" t="s">
        <v>96</v>
      </c>
      <c r="U139" s="10">
        <f>IF(T139="Heavy physical",0,IF(T139="Moderate activity",1,2))</f>
      </c>
      <c r="V139" s="5" t="s">
        <v>44</v>
      </c>
      <c r="W139" s="10">
        <f>IF(V139="7–8 hours",0,IF(V139="6–7 hours",1,2))</f>
      </c>
      <c r="X139" s="7" t="s">
        <v>45</v>
      </c>
      <c r="Y139" s="7" t="s">
        <v>75</v>
      </c>
      <c r="Z139" s="7" t="s">
        <v>45</v>
      </c>
      <c r="AA139" s="7" t="s">
        <v>42</v>
      </c>
      <c r="AB139" s="7" t="s">
        <v>42</v>
      </c>
      <c r="AC139" s="7" t="s">
        <v>42</v>
      </c>
      <c r="AD139" s="10">
        <f>I139 + Q139 + U139 + W139</f>
      </c>
      <c r="AE139" s="10">
        <f>IF(AD139&lt;=2,0,IF(AD139&lt;=5,1,2))</f>
      </c>
      <c r="AF139" s="7"/>
    </row>
    <row x14ac:dyDescent="0.25" r="140" customHeight="1" ht="17.25" hidden="1">
      <c r="A140" s="7" t="s">
        <v>76</v>
      </c>
      <c r="B140" s="7" t="s">
        <v>93</v>
      </c>
      <c r="C140" s="7" t="s">
        <v>141</v>
      </c>
      <c r="D140" s="10">
        <v>8</v>
      </c>
      <c r="E140" s="7" t="s">
        <v>51</v>
      </c>
      <c r="F140" s="10">
        <v>159</v>
      </c>
      <c r="G140" s="11">
        <v>55</v>
      </c>
      <c r="H140" s="12">
        <f>G140/((F140/100)*(F140/100))</f>
      </c>
      <c r="I140" s="11">
        <f>IF(H140&lt;25,0,IF(H140&lt;30,1,2))</f>
      </c>
      <c r="J140" s="13">
        <v>2</v>
      </c>
      <c r="K140" s="7" t="s">
        <v>72</v>
      </c>
      <c r="L140" s="7" t="s">
        <v>115</v>
      </c>
      <c r="M140" s="7" t="s">
        <v>41</v>
      </c>
      <c r="N140" s="7" t="s">
        <v>38</v>
      </c>
      <c r="O140" s="7" t="s">
        <v>63</v>
      </c>
      <c r="P140" s="7" t="s">
        <v>81</v>
      </c>
      <c r="Q140" s="10">
        <f>IF(P140="None of the above",0,2)</f>
      </c>
      <c r="R140" s="7" t="s">
        <v>56</v>
      </c>
      <c r="S140" s="7" t="s">
        <v>42</v>
      </c>
      <c r="T140" s="7" t="s">
        <v>96</v>
      </c>
      <c r="U140" s="10">
        <f>IF(T140="Heavy physical",0,IF(T140="Moderate activity",1,2))</f>
      </c>
      <c r="V140" s="5" t="s">
        <v>57</v>
      </c>
      <c r="W140" s="10">
        <f>IF(V140="7–8 hours",0,IF(V140="6–7 hours",1,2))</f>
      </c>
      <c r="X140" s="7" t="s">
        <v>70</v>
      </c>
      <c r="Y140" s="7" t="s">
        <v>75</v>
      </c>
      <c r="Z140" s="7" t="s">
        <v>92</v>
      </c>
      <c r="AA140" s="7" t="s">
        <v>42</v>
      </c>
      <c r="AB140" s="7" t="s">
        <v>42</v>
      </c>
      <c r="AC140" s="7" t="s">
        <v>42</v>
      </c>
      <c r="AD140" s="10">
        <f>I140 + Q140 + U140 + W140</f>
      </c>
      <c r="AE140" s="10">
        <f>IF(AD140&lt;=2,0,IF(AD140&lt;=5,1,2))</f>
      </c>
      <c r="AF140" s="7"/>
    </row>
    <row x14ac:dyDescent="0.25" r="141" customHeight="1" ht="17.25" hidden="1">
      <c r="A141" s="7" t="s">
        <v>76</v>
      </c>
      <c r="B141" s="7" t="s">
        <v>32</v>
      </c>
      <c r="C141" s="7" t="s">
        <v>33</v>
      </c>
      <c r="D141" s="10">
        <v>5</v>
      </c>
      <c r="E141" s="7" t="s">
        <v>34</v>
      </c>
      <c r="F141" s="10">
        <v>152</v>
      </c>
      <c r="G141" s="11">
        <v>52</v>
      </c>
      <c r="H141" s="12">
        <f>G141/((F141/100)*(F141/100))</f>
      </c>
      <c r="I141" s="11">
        <f>IF(H141&lt;25,0,IF(H141&lt;30,1,2))</f>
      </c>
      <c r="J141" s="13">
        <v>3</v>
      </c>
      <c r="K141" s="7" t="s">
        <v>35</v>
      </c>
      <c r="L141" s="7" t="s">
        <v>165</v>
      </c>
      <c r="M141" s="7" t="s">
        <v>37</v>
      </c>
      <c r="N141" s="7" t="s">
        <v>38</v>
      </c>
      <c r="O141" s="7" t="s">
        <v>39</v>
      </c>
      <c r="P141" s="7" t="s">
        <v>81</v>
      </c>
      <c r="Q141" s="10">
        <f>IF(P141="None of the above",0,2)</f>
      </c>
      <c r="R141" s="7" t="s">
        <v>56</v>
      </c>
      <c r="S141" s="15" t="s">
        <v>48</v>
      </c>
      <c r="T141" s="7" t="s">
        <v>96</v>
      </c>
      <c r="U141" s="10">
        <f>IF(T141="Heavy physical",0,IF(T141="Moderate activity",1,2))</f>
      </c>
      <c r="V141" s="5" t="s">
        <v>69</v>
      </c>
      <c r="W141" s="10">
        <f>IF(V141="7–8 hours",0,IF(V141="6–7 hours",1,2))</f>
      </c>
      <c r="X141" s="7" t="s">
        <v>102</v>
      </c>
      <c r="Y141" s="7" t="s">
        <v>75</v>
      </c>
      <c r="Z141" s="7" t="s">
        <v>47</v>
      </c>
      <c r="AA141" s="7" t="s">
        <v>48</v>
      </c>
      <c r="AB141" s="7" t="s">
        <v>48</v>
      </c>
      <c r="AC141" s="7" t="s">
        <v>48</v>
      </c>
      <c r="AD141" s="10">
        <f>I141 + Q141 + U141 + W141</f>
      </c>
      <c r="AE141" s="10">
        <f>IF(AD141&lt;=2,0,IF(AD141&lt;=5,1,2))</f>
      </c>
      <c r="AF141" s="7"/>
    </row>
    <row x14ac:dyDescent="0.25" r="142" customHeight="1" ht="17.25" hidden="1">
      <c r="A142" s="7" t="s">
        <v>76</v>
      </c>
      <c r="B142" s="7" t="s">
        <v>32</v>
      </c>
      <c r="C142" s="16" t="s">
        <v>126</v>
      </c>
      <c r="D142" s="10">
        <v>2</v>
      </c>
      <c r="E142" s="7" t="s">
        <v>34</v>
      </c>
      <c r="F142" s="10">
        <v>149</v>
      </c>
      <c r="G142" s="11">
        <v>47</v>
      </c>
      <c r="H142" s="12">
        <f>G142/((F142/100)*(F142/100))</f>
      </c>
      <c r="I142" s="11">
        <f>IF(H142&lt;25,0,IF(H142&lt;30,1,2))</f>
      </c>
      <c r="J142" s="13">
        <v>3</v>
      </c>
      <c r="K142" s="7" t="s">
        <v>86</v>
      </c>
      <c r="L142" s="7" t="s">
        <v>147</v>
      </c>
      <c r="M142" s="7" t="s">
        <v>37</v>
      </c>
      <c r="N142" s="7" t="s">
        <v>38</v>
      </c>
      <c r="O142" s="7" t="s">
        <v>80</v>
      </c>
      <c r="P142" s="7" t="s">
        <v>81</v>
      </c>
      <c r="Q142" s="10">
        <f>IF(P142="None of the above",0,2)</f>
      </c>
      <c r="R142" s="7" t="s">
        <v>56</v>
      </c>
      <c r="S142" s="7" t="s">
        <v>42</v>
      </c>
      <c r="T142" s="7" t="s">
        <v>96</v>
      </c>
      <c r="U142" s="10">
        <f>IF(T142="Heavy physical",0,IF(T142="Moderate activity",1,2))</f>
      </c>
      <c r="V142" s="5" t="s">
        <v>57</v>
      </c>
      <c r="W142" s="10">
        <f>IF(V142="7–8 hours",0,IF(V142="6–7 hours",1,2))</f>
      </c>
      <c r="X142" s="7" t="s">
        <v>83</v>
      </c>
      <c r="Y142" s="7" t="s">
        <v>58</v>
      </c>
      <c r="Z142" s="7" t="s">
        <v>92</v>
      </c>
      <c r="AA142" s="7" t="s">
        <v>42</v>
      </c>
      <c r="AB142" s="7" t="s">
        <v>42</v>
      </c>
      <c r="AC142" s="7" t="s">
        <v>42</v>
      </c>
      <c r="AD142" s="10">
        <f>I142 + Q142 + U142 + W142</f>
      </c>
      <c r="AE142" s="10">
        <f>IF(AD142&lt;=2,0,IF(AD142&lt;=5,1,2))</f>
      </c>
      <c r="AF142" s="7"/>
    </row>
    <row x14ac:dyDescent="0.25" r="143" customHeight="1" ht="17.25" hidden="1">
      <c r="A143" s="7" t="s">
        <v>76</v>
      </c>
      <c r="B143" s="7" t="s">
        <v>59</v>
      </c>
      <c r="C143" s="7" t="s">
        <v>33</v>
      </c>
      <c r="D143" s="10">
        <v>1</v>
      </c>
      <c r="E143" s="7" t="s">
        <v>51</v>
      </c>
      <c r="F143" s="10">
        <v>155</v>
      </c>
      <c r="G143" s="11">
        <v>112</v>
      </c>
      <c r="H143" s="12">
        <f>G143/((F143/100)*(F143/100))</f>
      </c>
      <c r="I143" s="11">
        <f>IF(H143&lt;25,0,IF(H143&lt;30,1,2))</f>
      </c>
      <c r="J143" s="13">
        <v>2</v>
      </c>
      <c r="K143" s="7" t="s">
        <v>61</v>
      </c>
      <c r="L143" s="7" t="s">
        <v>145</v>
      </c>
      <c r="M143" s="7" t="s">
        <v>37</v>
      </c>
      <c r="N143" s="7" t="s">
        <v>38</v>
      </c>
      <c r="O143" s="7" t="s">
        <v>74</v>
      </c>
      <c r="P143" s="7" t="s">
        <v>132</v>
      </c>
      <c r="Q143" s="10">
        <f>IF(P143="None of the above",0,2)</f>
      </c>
      <c r="R143" s="7" t="s">
        <v>56</v>
      </c>
      <c r="S143" s="15" t="s">
        <v>48</v>
      </c>
      <c r="T143" s="7" t="s">
        <v>99</v>
      </c>
      <c r="U143" s="10">
        <f>IF(T143="Heavy physical",0,IF(T143="Moderate activity",1,2))</f>
      </c>
      <c r="V143" s="5" t="s">
        <v>57</v>
      </c>
      <c r="W143" s="10">
        <f>IF(V143="7–8 hours",0,IF(V143="6–7 hours",1,2))</f>
      </c>
      <c r="X143" s="7" t="s">
        <v>83</v>
      </c>
      <c r="Y143" s="7" t="s">
        <v>64</v>
      </c>
      <c r="Z143" s="7" t="s">
        <v>92</v>
      </c>
      <c r="AA143" s="7" t="s">
        <v>42</v>
      </c>
      <c r="AB143" s="7" t="s">
        <v>42</v>
      </c>
      <c r="AC143" s="7" t="s">
        <v>42</v>
      </c>
      <c r="AD143" s="10">
        <f>I143 + Q143 + U143 + W143</f>
      </c>
      <c r="AE143" s="10">
        <f>IF(AD143&lt;=2,0,IF(AD143&lt;=5,1,2))</f>
      </c>
      <c r="AF143" s="7"/>
    </row>
    <row x14ac:dyDescent="0.25" r="144" customHeight="1" ht="17.25" hidden="1">
      <c r="A144" s="7" t="s">
        <v>49</v>
      </c>
      <c r="B144" s="7" t="s">
        <v>59</v>
      </c>
      <c r="C144" s="7" t="s">
        <v>120</v>
      </c>
      <c r="D144" s="10">
        <v>7</v>
      </c>
      <c r="E144" s="7" t="s">
        <v>34</v>
      </c>
      <c r="F144" s="10">
        <v>183</v>
      </c>
      <c r="G144" s="11">
        <v>111</v>
      </c>
      <c r="H144" s="12">
        <f>G144/((F144/100)*(F144/100))</f>
      </c>
      <c r="I144" s="11">
        <f>IF(H144&lt;25,0,IF(H144&lt;30,1,2))</f>
      </c>
      <c r="J144" s="13">
        <v>2</v>
      </c>
      <c r="K144" s="7" t="s">
        <v>72</v>
      </c>
      <c r="L144" s="7" t="s">
        <v>147</v>
      </c>
      <c r="M144" s="7" t="s">
        <v>41</v>
      </c>
      <c r="N144" s="7" t="s">
        <v>38</v>
      </c>
      <c r="O144" s="7" t="s">
        <v>68</v>
      </c>
      <c r="P144" s="7" t="s">
        <v>81</v>
      </c>
      <c r="Q144" s="10">
        <f>IF(P144="None of the above",0,2)</f>
      </c>
      <c r="R144" s="7" t="s">
        <v>56</v>
      </c>
      <c r="S144" s="7" t="s">
        <v>42</v>
      </c>
      <c r="T144" s="7" t="s">
        <v>96</v>
      </c>
      <c r="U144" s="10">
        <f>IF(T144="Heavy physical",0,IF(T144="Moderate activity",1,2))</f>
      </c>
      <c r="V144" s="5" t="s">
        <v>69</v>
      </c>
      <c r="W144" s="10">
        <f>IF(V144="7–8 hours",0,IF(V144="6–7 hours",1,2))</f>
      </c>
      <c r="X144" s="7" t="s">
        <v>83</v>
      </c>
      <c r="Y144" s="7" t="s">
        <v>46</v>
      </c>
      <c r="Z144" s="7" t="s">
        <v>45</v>
      </c>
      <c r="AA144" s="7" t="s">
        <v>48</v>
      </c>
      <c r="AB144" s="7" t="s">
        <v>48</v>
      </c>
      <c r="AC144" s="7" t="s">
        <v>48</v>
      </c>
      <c r="AD144" s="10">
        <f>I144 + Q144 + U144 + W144</f>
      </c>
      <c r="AE144" s="10">
        <f>IF(AD144&lt;=2,0,IF(AD144&lt;=5,1,2))</f>
      </c>
      <c r="AF144" s="7"/>
    </row>
    <row x14ac:dyDescent="0.25" r="145" customHeight="1" ht="17.25" hidden="1">
      <c r="A145" s="7" t="s">
        <v>49</v>
      </c>
      <c r="B145" s="7" t="s">
        <v>93</v>
      </c>
      <c r="C145" s="7" t="s">
        <v>33</v>
      </c>
      <c r="D145" s="10">
        <v>5</v>
      </c>
      <c r="E145" s="7" t="s">
        <v>51</v>
      </c>
      <c r="F145" s="10">
        <v>186</v>
      </c>
      <c r="G145" s="11">
        <v>92</v>
      </c>
      <c r="H145" s="12">
        <f>G145/((F145/100)*(F145/100))</f>
      </c>
      <c r="I145" s="11">
        <f>IF(H145&lt;25,0,IF(H145&lt;30,1,2))</f>
      </c>
      <c r="J145" s="13">
        <v>3</v>
      </c>
      <c r="K145" s="7" t="s">
        <v>61</v>
      </c>
      <c r="L145" s="7" t="s">
        <v>166</v>
      </c>
      <c r="M145" s="7" t="s">
        <v>54</v>
      </c>
      <c r="N145" s="7" t="s">
        <v>38</v>
      </c>
      <c r="O145" s="7" t="s">
        <v>63</v>
      </c>
      <c r="P145" s="7" t="s">
        <v>81</v>
      </c>
      <c r="Q145" s="10">
        <f>IF(P145="None of the above",0,2)</f>
      </c>
      <c r="R145" s="7" t="s">
        <v>56</v>
      </c>
      <c r="S145" s="7" t="s">
        <v>42</v>
      </c>
      <c r="T145" s="7" t="s">
        <v>96</v>
      </c>
      <c r="U145" s="10">
        <f>IF(T145="Heavy physical",0,IF(T145="Moderate activity",1,2))</f>
      </c>
      <c r="V145" s="5" t="s">
        <v>57</v>
      </c>
      <c r="W145" s="10">
        <f>IF(V145="7–8 hours",0,IF(V145="6–7 hours",1,2))</f>
      </c>
      <c r="X145" s="7" t="s">
        <v>45</v>
      </c>
      <c r="Y145" s="7" t="s">
        <v>64</v>
      </c>
      <c r="Z145" s="7" t="s">
        <v>65</v>
      </c>
      <c r="AA145" s="7" t="s">
        <v>42</v>
      </c>
      <c r="AB145" s="7" t="s">
        <v>42</v>
      </c>
      <c r="AC145" s="7" t="s">
        <v>42</v>
      </c>
      <c r="AD145" s="10">
        <f>I145 + Q145 + U145 + W145</f>
      </c>
      <c r="AE145" s="10">
        <f>IF(AD145&lt;=2,0,IF(AD145&lt;=5,1,2))</f>
      </c>
      <c r="AF145" s="7"/>
    </row>
    <row x14ac:dyDescent="0.25" r="146" customHeight="1" ht="17.25" hidden="1">
      <c r="A146" s="7" t="s">
        <v>49</v>
      </c>
      <c r="B146" s="7" t="s">
        <v>93</v>
      </c>
      <c r="C146" s="7" t="s">
        <v>122</v>
      </c>
      <c r="D146" s="10">
        <v>7</v>
      </c>
      <c r="E146" s="7" t="s">
        <v>34</v>
      </c>
      <c r="F146" s="10">
        <v>183</v>
      </c>
      <c r="G146" s="11">
        <v>109</v>
      </c>
      <c r="H146" s="12">
        <f>G146/((F146/100)*(F146/100))</f>
      </c>
      <c r="I146" s="11">
        <f>IF(H146&lt;25,0,IF(H146&lt;30,1,2))</f>
      </c>
      <c r="J146" s="13">
        <v>3</v>
      </c>
      <c r="K146" s="7" t="s">
        <v>35</v>
      </c>
      <c r="L146" s="7" t="s">
        <v>140</v>
      </c>
      <c r="M146" s="7" t="s">
        <v>54</v>
      </c>
      <c r="N146" s="7" t="s">
        <v>38</v>
      </c>
      <c r="O146" s="7" t="s">
        <v>80</v>
      </c>
      <c r="P146" s="7" t="s">
        <v>40</v>
      </c>
      <c r="Q146" s="10">
        <f>IF(P146="None of the above",0,2)</f>
      </c>
      <c r="R146" s="7" t="s">
        <v>56</v>
      </c>
      <c r="S146" s="15" t="s">
        <v>48</v>
      </c>
      <c r="T146" s="7" t="s">
        <v>96</v>
      </c>
      <c r="U146" s="10">
        <f>IF(T146="Heavy physical",0,IF(T146="Moderate activity",1,2))</f>
      </c>
      <c r="V146" s="5" t="s">
        <v>97</v>
      </c>
      <c r="W146" s="10">
        <f>IF(V146="7–8 hours",0,IF(V146="6–7 hours",1,2))</f>
      </c>
      <c r="X146" s="7" t="s">
        <v>45</v>
      </c>
      <c r="Y146" s="7" t="s">
        <v>75</v>
      </c>
      <c r="Z146" s="7" t="s">
        <v>45</v>
      </c>
      <c r="AA146" s="7" t="s">
        <v>42</v>
      </c>
      <c r="AB146" s="7" t="s">
        <v>48</v>
      </c>
      <c r="AC146" s="7" t="s">
        <v>42</v>
      </c>
      <c r="AD146" s="10">
        <f>I146 + Q146 + U146 + W146</f>
      </c>
      <c r="AE146" s="10">
        <f>IF(AD146&lt;=2,0,IF(AD146&lt;=5,1,2))</f>
      </c>
      <c r="AF146" s="7"/>
    </row>
    <row x14ac:dyDescent="0.25" r="147" customHeight="1" ht="17.25" hidden="1">
      <c r="A147" s="7" t="s">
        <v>31</v>
      </c>
      <c r="B147" s="7" t="s">
        <v>59</v>
      </c>
      <c r="C147" s="7" t="s">
        <v>50</v>
      </c>
      <c r="D147" s="10">
        <v>6</v>
      </c>
      <c r="E147" s="7" t="s">
        <v>34</v>
      </c>
      <c r="F147" s="10">
        <v>169</v>
      </c>
      <c r="G147" s="11">
        <v>70</v>
      </c>
      <c r="H147" s="12">
        <f>G147/((F147/100)*(F147/100))</f>
      </c>
      <c r="I147" s="11">
        <f>IF(H147&lt;25,0,IF(H147&lt;30,1,2))</f>
      </c>
      <c r="J147" s="13">
        <v>3</v>
      </c>
      <c r="K147" s="7" t="s">
        <v>72</v>
      </c>
      <c r="L147" s="7" t="s">
        <v>167</v>
      </c>
      <c r="M147" s="7" t="s">
        <v>37</v>
      </c>
      <c r="N147" s="7" t="s">
        <v>38</v>
      </c>
      <c r="O147" s="7" t="s">
        <v>63</v>
      </c>
      <c r="P147" s="7" t="s">
        <v>81</v>
      </c>
      <c r="Q147" s="10">
        <f>IF(P147="None of the above",0,2)</f>
      </c>
      <c r="R147" s="7" t="s">
        <v>56</v>
      </c>
      <c r="S147" s="15" t="s">
        <v>48</v>
      </c>
      <c r="T147" s="7" t="s">
        <v>99</v>
      </c>
      <c r="U147" s="10">
        <f>IF(T147="Heavy physical",0,IF(T147="Moderate activity",1,2))</f>
      </c>
      <c r="V147" s="5" t="s">
        <v>57</v>
      </c>
      <c r="W147" s="10">
        <f>IF(V147="7–8 hours",0,IF(V147="6–7 hours",1,2))</f>
      </c>
      <c r="X147" s="7" t="s">
        <v>83</v>
      </c>
      <c r="Y147" s="7" t="s">
        <v>64</v>
      </c>
      <c r="Z147" s="7" t="s">
        <v>45</v>
      </c>
      <c r="AA147" s="7" t="s">
        <v>42</v>
      </c>
      <c r="AB147" s="7" t="s">
        <v>42</v>
      </c>
      <c r="AC147" s="7" t="s">
        <v>42</v>
      </c>
      <c r="AD147" s="10">
        <f>I147 + Q147 + U147 + W147</f>
      </c>
      <c r="AE147" s="10">
        <f>IF(AD147&lt;=2,0,IF(AD147&lt;=5,1,2))</f>
      </c>
      <c r="AF147" s="7"/>
    </row>
    <row x14ac:dyDescent="0.25" r="148" customHeight="1" ht="17.25" hidden="1">
      <c r="A148" s="7" t="s">
        <v>49</v>
      </c>
      <c r="B148" s="7" t="s">
        <v>59</v>
      </c>
      <c r="C148" s="7" t="s">
        <v>33</v>
      </c>
      <c r="D148" s="10">
        <v>5</v>
      </c>
      <c r="E148" s="7" t="s">
        <v>34</v>
      </c>
      <c r="F148" s="10">
        <v>168</v>
      </c>
      <c r="G148" s="11">
        <v>53</v>
      </c>
      <c r="H148" s="12">
        <f>G148/((F148/100)*(F148/100))</f>
      </c>
      <c r="I148" s="11">
        <f>IF(H148&lt;25,0,IF(H148&lt;30,1,2))</f>
      </c>
      <c r="J148" s="13">
        <v>1</v>
      </c>
      <c r="K148" s="7" t="s">
        <v>35</v>
      </c>
      <c r="L148" s="7" t="s">
        <v>125</v>
      </c>
      <c r="M148" s="7" t="s">
        <v>41</v>
      </c>
      <c r="N148" s="7" t="s">
        <v>38</v>
      </c>
      <c r="O148" s="7" t="s">
        <v>63</v>
      </c>
      <c r="P148" s="7" t="s">
        <v>81</v>
      </c>
      <c r="Q148" s="10">
        <f>IF(P148="None of the above",0,2)</f>
      </c>
      <c r="R148" s="7" t="s">
        <v>56</v>
      </c>
      <c r="S148" s="7" t="s">
        <v>42</v>
      </c>
      <c r="T148" s="7" t="s">
        <v>96</v>
      </c>
      <c r="U148" s="10">
        <f>IF(T148="Heavy physical",0,IF(T148="Moderate activity",1,2))</f>
      </c>
      <c r="V148" s="5" t="s">
        <v>97</v>
      </c>
      <c r="W148" s="10">
        <f>IF(V148="7–8 hours",0,IF(V148="6–7 hours",1,2))</f>
      </c>
      <c r="X148" s="7" t="s">
        <v>45</v>
      </c>
      <c r="Y148" s="7" t="s">
        <v>46</v>
      </c>
      <c r="Z148" s="7" t="s">
        <v>45</v>
      </c>
      <c r="AA148" s="7" t="s">
        <v>48</v>
      </c>
      <c r="AB148" s="7" t="s">
        <v>42</v>
      </c>
      <c r="AC148" s="7" t="s">
        <v>42</v>
      </c>
      <c r="AD148" s="10">
        <f>I148 + Q148 + U148 + W148</f>
      </c>
      <c r="AE148" s="10">
        <f>IF(AD148&lt;=2,0,IF(AD148&lt;=5,1,2))</f>
      </c>
      <c r="AF148" s="7"/>
    </row>
    <row x14ac:dyDescent="0.25" r="149" customHeight="1" ht="17.25" hidden="1">
      <c r="A149" s="7" t="s">
        <v>76</v>
      </c>
      <c r="B149" s="7" t="s">
        <v>71</v>
      </c>
      <c r="C149" s="7" t="s">
        <v>120</v>
      </c>
      <c r="D149" s="10">
        <v>4</v>
      </c>
      <c r="E149" s="7" t="s">
        <v>34</v>
      </c>
      <c r="F149" s="10">
        <v>140</v>
      </c>
      <c r="G149" s="11">
        <v>120</v>
      </c>
      <c r="H149" s="12">
        <f>G149/((F149/100)*(F149/100))</f>
      </c>
      <c r="I149" s="11">
        <f>IF(H149&lt;25,0,IF(H149&lt;30,1,2))</f>
      </c>
      <c r="J149" s="13">
        <v>3</v>
      </c>
      <c r="K149" s="7" t="s">
        <v>105</v>
      </c>
      <c r="L149" s="7" t="s">
        <v>152</v>
      </c>
      <c r="M149" s="7" t="s">
        <v>41</v>
      </c>
      <c r="N149" s="7" t="s">
        <v>38</v>
      </c>
      <c r="O149" s="7" t="s">
        <v>68</v>
      </c>
      <c r="P149" s="7" t="s">
        <v>81</v>
      </c>
      <c r="Q149" s="10">
        <f>IF(P149="None of the above",0,2)</f>
      </c>
      <c r="R149" s="7" t="s">
        <v>56</v>
      </c>
      <c r="S149" s="15" t="s">
        <v>48</v>
      </c>
      <c r="T149" s="7" t="s">
        <v>96</v>
      </c>
      <c r="U149" s="10">
        <f>IF(T149="Heavy physical",0,IF(T149="Moderate activity",1,2))</f>
      </c>
      <c r="V149" s="5" t="s">
        <v>57</v>
      </c>
      <c r="W149" s="10">
        <f>IF(V149="7–8 hours",0,IF(V149="6–7 hours",1,2))</f>
      </c>
      <c r="X149" s="7" t="s">
        <v>45</v>
      </c>
      <c r="Y149" s="7" t="s">
        <v>64</v>
      </c>
      <c r="Z149" s="7" t="s">
        <v>47</v>
      </c>
      <c r="AA149" s="7" t="s">
        <v>48</v>
      </c>
      <c r="AB149" s="7" t="s">
        <v>42</v>
      </c>
      <c r="AC149" s="7" t="s">
        <v>42</v>
      </c>
      <c r="AD149" s="10">
        <f>I149 + Q149 + U149 + W149</f>
      </c>
      <c r="AE149" s="10">
        <f>IF(AD149&lt;=2,0,IF(AD149&lt;=5,1,2))</f>
      </c>
      <c r="AF149" s="7"/>
    </row>
    <row x14ac:dyDescent="0.25" r="150" customHeight="1" ht="17.25" hidden="1">
      <c r="A150" s="7" t="s">
        <v>31</v>
      </c>
      <c r="B150" s="7" t="s">
        <v>93</v>
      </c>
      <c r="C150" s="7" t="s">
        <v>50</v>
      </c>
      <c r="D150" s="10">
        <v>5</v>
      </c>
      <c r="E150" s="7" t="s">
        <v>34</v>
      </c>
      <c r="F150" s="10">
        <v>172</v>
      </c>
      <c r="G150" s="11">
        <v>105</v>
      </c>
      <c r="H150" s="12">
        <f>G150/((F150/100)*(F150/100))</f>
      </c>
      <c r="I150" s="11">
        <f>IF(H150&lt;25,0,IF(H150&lt;30,1,2))</f>
      </c>
      <c r="J150" s="13">
        <v>3</v>
      </c>
      <c r="K150" s="7" t="s">
        <v>35</v>
      </c>
      <c r="L150" s="7" t="s">
        <v>168</v>
      </c>
      <c r="M150" s="7" t="s">
        <v>54</v>
      </c>
      <c r="N150" s="7" t="s">
        <v>38</v>
      </c>
      <c r="O150" s="7" t="s">
        <v>68</v>
      </c>
      <c r="P150" s="7" t="s">
        <v>81</v>
      </c>
      <c r="Q150" s="10">
        <f>IF(P150="None of the above",0,2)</f>
      </c>
      <c r="R150" s="7" t="s">
        <v>56</v>
      </c>
      <c r="S150" s="15" t="s">
        <v>48</v>
      </c>
      <c r="T150" s="7" t="s">
        <v>96</v>
      </c>
      <c r="U150" s="10">
        <f>IF(T150="Heavy physical",0,IF(T150="Moderate activity",1,2))</f>
      </c>
      <c r="V150" s="5" t="s">
        <v>57</v>
      </c>
      <c r="W150" s="10">
        <f>IF(V150="7–8 hours",0,IF(V150="6–7 hours",1,2))</f>
      </c>
      <c r="X150" s="7" t="s">
        <v>70</v>
      </c>
      <c r="Y150" s="7" t="s">
        <v>75</v>
      </c>
      <c r="Z150" s="7" t="s">
        <v>45</v>
      </c>
      <c r="AA150" s="7" t="s">
        <v>42</v>
      </c>
      <c r="AB150" s="7" t="s">
        <v>42</v>
      </c>
      <c r="AC150" s="7" t="s">
        <v>48</v>
      </c>
      <c r="AD150" s="10">
        <f>I150 + Q150 + U150 + W150</f>
      </c>
      <c r="AE150" s="10">
        <f>IF(AD150&lt;=2,0,IF(AD150&lt;=5,1,2))</f>
      </c>
      <c r="AF150" s="7"/>
    </row>
    <row x14ac:dyDescent="0.25" r="151" customHeight="1" ht="17.25" hidden="1">
      <c r="A151" s="7" t="s">
        <v>76</v>
      </c>
      <c r="B151" s="7" t="s">
        <v>93</v>
      </c>
      <c r="C151" s="7" t="s">
        <v>141</v>
      </c>
      <c r="D151" s="10">
        <v>1</v>
      </c>
      <c r="E151" s="7" t="s">
        <v>34</v>
      </c>
      <c r="F151" s="10">
        <v>149</v>
      </c>
      <c r="G151" s="11">
        <v>89</v>
      </c>
      <c r="H151" s="12">
        <f>G151/((F151/100)*(F151/100))</f>
      </c>
      <c r="I151" s="11">
        <f>IF(H151&lt;25,0,IF(H151&lt;30,1,2))</f>
      </c>
      <c r="J151" s="13">
        <v>1</v>
      </c>
      <c r="K151" s="7" t="s">
        <v>86</v>
      </c>
      <c r="L151" s="7" t="s">
        <v>113</v>
      </c>
      <c r="M151" s="7" t="s">
        <v>37</v>
      </c>
      <c r="N151" s="7" t="s">
        <v>38</v>
      </c>
      <c r="O151" s="7" t="s">
        <v>63</v>
      </c>
      <c r="P151" s="7" t="s">
        <v>40</v>
      </c>
      <c r="Q151" s="10">
        <f>IF(P151="None of the above",0,2)</f>
      </c>
      <c r="R151" s="7" t="s">
        <v>56</v>
      </c>
      <c r="S151" s="15" t="s">
        <v>48</v>
      </c>
      <c r="T151" s="7" t="s">
        <v>96</v>
      </c>
      <c r="U151" s="10">
        <f>IF(T151="Heavy physical",0,IF(T151="Moderate activity",1,2))</f>
      </c>
      <c r="V151" s="5" t="s">
        <v>97</v>
      </c>
      <c r="W151" s="10">
        <f>IF(V151="7–8 hours",0,IF(V151="6–7 hours",1,2))</f>
      </c>
      <c r="X151" s="7" t="s">
        <v>102</v>
      </c>
      <c r="Y151" s="7" t="s">
        <v>46</v>
      </c>
      <c r="Z151" s="7" t="s">
        <v>92</v>
      </c>
      <c r="AA151" s="7" t="s">
        <v>42</v>
      </c>
      <c r="AB151" s="7" t="s">
        <v>48</v>
      </c>
      <c r="AC151" s="7" t="s">
        <v>42</v>
      </c>
      <c r="AD151" s="10">
        <f>I151 + Q151 + U151 + W151</f>
      </c>
      <c r="AE151" s="10">
        <f>IF(AD151&lt;=2,0,IF(AD151&lt;=5,1,2))</f>
      </c>
      <c r="AF151" s="7"/>
    </row>
    <row x14ac:dyDescent="0.25" r="152" customHeight="1" ht="17.25" hidden="1">
      <c r="A152" s="7" t="s">
        <v>49</v>
      </c>
      <c r="B152" s="7" t="s">
        <v>84</v>
      </c>
      <c r="C152" s="7" t="s">
        <v>50</v>
      </c>
      <c r="D152" s="10">
        <v>4</v>
      </c>
      <c r="E152" s="7" t="s">
        <v>51</v>
      </c>
      <c r="F152" s="10">
        <v>166</v>
      </c>
      <c r="G152" s="11">
        <v>52</v>
      </c>
      <c r="H152" s="12">
        <f>G152/((F152/100)*(F152/100))</f>
      </c>
      <c r="I152" s="11">
        <f>IF(H152&lt;25,0,IF(H152&lt;30,1,2))</f>
      </c>
      <c r="J152" s="13">
        <v>1</v>
      </c>
      <c r="K152" s="7" t="s">
        <v>35</v>
      </c>
      <c r="L152" s="7" t="s">
        <v>124</v>
      </c>
      <c r="M152" s="7" t="s">
        <v>37</v>
      </c>
      <c r="N152" s="7" t="s">
        <v>38</v>
      </c>
      <c r="O152" s="7" t="s">
        <v>63</v>
      </c>
      <c r="P152" s="7" t="s">
        <v>40</v>
      </c>
      <c r="Q152" s="10">
        <f>IF(P152="None of the above",0,2)</f>
      </c>
      <c r="R152" s="7" t="s">
        <v>56</v>
      </c>
      <c r="S152" s="7" t="s">
        <v>42</v>
      </c>
      <c r="T152" s="7" t="s">
        <v>99</v>
      </c>
      <c r="U152" s="10">
        <f>IF(T152="Heavy physical",0,IF(T152="Moderate activity",1,2))</f>
      </c>
      <c r="V152" s="5" t="s">
        <v>44</v>
      </c>
      <c r="W152" s="10">
        <f>IF(V152="7–8 hours",0,IF(V152="6–7 hours",1,2))</f>
      </c>
      <c r="X152" s="7" t="s">
        <v>102</v>
      </c>
      <c r="Y152" s="7" t="s">
        <v>58</v>
      </c>
      <c r="Z152" s="7" t="s">
        <v>47</v>
      </c>
      <c r="AA152" s="7" t="s">
        <v>42</v>
      </c>
      <c r="AB152" s="7" t="s">
        <v>42</v>
      </c>
      <c r="AC152" s="7" t="s">
        <v>42</v>
      </c>
      <c r="AD152" s="10">
        <f>I152 + Q152 + U152 + W152</f>
      </c>
      <c r="AE152" s="10">
        <f>IF(AD152&lt;=2,0,IF(AD152&lt;=5,1,2))</f>
      </c>
      <c r="AF152" s="7"/>
    </row>
    <row x14ac:dyDescent="0.25" r="153" customHeight="1" ht="17.25" hidden="1">
      <c r="A153" s="7" t="s">
        <v>31</v>
      </c>
      <c r="B153" s="7" t="s">
        <v>59</v>
      </c>
      <c r="C153" s="7" t="s">
        <v>141</v>
      </c>
      <c r="D153" s="10">
        <v>5</v>
      </c>
      <c r="E153" s="7" t="s">
        <v>34</v>
      </c>
      <c r="F153" s="10">
        <v>192</v>
      </c>
      <c r="G153" s="11">
        <v>61</v>
      </c>
      <c r="H153" s="12">
        <f>G153/((F153/100)*(F153/100))</f>
      </c>
      <c r="I153" s="11">
        <f>IF(H153&lt;25,0,IF(H153&lt;30,1,2))</f>
      </c>
      <c r="J153" s="13">
        <v>3</v>
      </c>
      <c r="K153" s="7" t="s">
        <v>35</v>
      </c>
      <c r="L153" s="7" t="s">
        <v>128</v>
      </c>
      <c r="M153" s="7" t="s">
        <v>54</v>
      </c>
      <c r="N153" s="7" t="s">
        <v>38</v>
      </c>
      <c r="O153" s="7" t="s">
        <v>74</v>
      </c>
      <c r="P153" s="7" t="s">
        <v>40</v>
      </c>
      <c r="Q153" s="10">
        <f>IF(P153="None of the above",0,2)</f>
      </c>
      <c r="R153" s="7" t="s">
        <v>56</v>
      </c>
      <c r="S153" s="15" t="s">
        <v>48</v>
      </c>
      <c r="T153" s="7" t="s">
        <v>96</v>
      </c>
      <c r="U153" s="10">
        <f>IF(T153="Heavy physical",0,IF(T153="Moderate activity",1,2))</f>
      </c>
      <c r="V153" s="5" t="s">
        <v>57</v>
      </c>
      <c r="W153" s="10">
        <f>IF(V153="7–8 hours",0,IF(V153="6–7 hours",1,2))</f>
      </c>
      <c r="X153" s="7" t="s">
        <v>45</v>
      </c>
      <c r="Y153" s="7" t="s">
        <v>46</v>
      </c>
      <c r="Z153" s="7" t="s">
        <v>45</v>
      </c>
      <c r="AA153" s="7" t="s">
        <v>42</v>
      </c>
      <c r="AB153" s="7" t="s">
        <v>42</v>
      </c>
      <c r="AC153" s="7" t="s">
        <v>42</v>
      </c>
      <c r="AD153" s="10">
        <f>I153 + Q153 + U153 + W153</f>
      </c>
      <c r="AE153" s="10">
        <f>IF(AD153&lt;=2,0,IF(AD153&lt;=5,1,2))</f>
      </c>
      <c r="AF153" s="7"/>
    </row>
    <row x14ac:dyDescent="0.25" r="154" customHeight="1" ht="17.25" hidden="1">
      <c r="A154" s="7" t="s">
        <v>76</v>
      </c>
      <c r="B154" s="7" t="s">
        <v>71</v>
      </c>
      <c r="C154" s="7" t="s">
        <v>122</v>
      </c>
      <c r="D154" s="10">
        <v>4</v>
      </c>
      <c r="E154" s="7" t="s">
        <v>51</v>
      </c>
      <c r="F154" s="10">
        <v>181</v>
      </c>
      <c r="G154" s="11">
        <v>53</v>
      </c>
      <c r="H154" s="12">
        <f>G154/((F154/100)*(F154/100))</f>
      </c>
      <c r="I154" s="11">
        <f>IF(H154&lt;25,0,IF(H154&lt;30,1,2))</f>
      </c>
      <c r="J154" s="13">
        <v>3</v>
      </c>
      <c r="K154" s="7" t="s">
        <v>72</v>
      </c>
      <c r="L154" s="7" t="s">
        <v>152</v>
      </c>
      <c r="M154" s="7" t="s">
        <v>37</v>
      </c>
      <c r="N154" s="7" t="s">
        <v>38</v>
      </c>
      <c r="O154" s="7" t="s">
        <v>63</v>
      </c>
      <c r="P154" s="7" t="s">
        <v>40</v>
      </c>
      <c r="Q154" s="10">
        <f>IF(P154="None of the above",0,2)</f>
      </c>
      <c r="R154" s="7" t="s">
        <v>56</v>
      </c>
      <c r="S154" s="7" t="s">
        <v>42</v>
      </c>
      <c r="T154" s="7" t="s">
        <v>96</v>
      </c>
      <c r="U154" s="10">
        <f>IF(T154="Heavy physical",0,IF(T154="Moderate activity",1,2))</f>
      </c>
      <c r="V154" s="5" t="s">
        <v>57</v>
      </c>
      <c r="W154" s="10">
        <f>IF(V154="7–8 hours",0,IF(V154="6–7 hours",1,2))</f>
      </c>
      <c r="X154" s="7" t="s">
        <v>70</v>
      </c>
      <c r="Y154" s="7" t="s">
        <v>64</v>
      </c>
      <c r="Z154" s="7" t="s">
        <v>65</v>
      </c>
      <c r="AA154" s="7" t="s">
        <v>42</v>
      </c>
      <c r="AB154" s="7" t="s">
        <v>42</v>
      </c>
      <c r="AC154" s="7" t="s">
        <v>42</v>
      </c>
      <c r="AD154" s="10">
        <f>I154 + Q154 + U154 + W154</f>
      </c>
      <c r="AE154" s="10">
        <f>IF(AD154&lt;=2,0,IF(AD154&lt;=5,1,2))</f>
      </c>
      <c r="AF154" s="7"/>
    </row>
    <row x14ac:dyDescent="0.25" r="155" customHeight="1" ht="17.25" hidden="1">
      <c r="A155" s="7" t="s">
        <v>76</v>
      </c>
      <c r="B155" s="7" t="s">
        <v>66</v>
      </c>
      <c r="C155" s="7" t="s">
        <v>33</v>
      </c>
      <c r="D155" s="10">
        <v>2</v>
      </c>
      <c r="E155" s="7" t="s">
        <v>34</v>
      </c>
      <c r="F155" s="10">
        <v>151</v>
      </c>
      <c r="G155" s="11">
        <v>100</v>
      </c>
      <c r="H155" s="12">
        <f>G155/((F155/100)*(F155/100))</f>
      </c>
      <c r="I155" s="11">
        <f>IF(H155&lt;25,0,IF(H155&lt;30,1,2))</f>
      </c>
      <c r="J155" s="13">
        <v>3</v>
      </c>
      <c r="K155" s="7" t="s">
        <v>35</v>
      </c>
      <c r="L155" s="7" t="s">
        <v>36</v>
      </c>
      <c r="M155" s="7" t="s">
        <v>37</v>
      </c>
      <c r="N155" s="7" t="s">
        <v>38</v>
      </c>
      <c r="O155" s="7" t="s">
        <v>39</v>
      </c>
      <c r="P155" s="7" t="s">
        <v>81</v>
      </c>
      <c r="Q155" s="10">
        <f>IF(P155="None of the above",0,2)</f>
      </c>
      <c r="R155" s="7" t="s">
        <v>56</v>
      </c>
      <c r="S155" s="15" t="s">
        <v>48</v>
      </c>
      <c r="T155" s="7" t="s">
        <v>99</v>
      </c>
      <c r="U155" s="10">
        <f>IF(T155="Heavy physical",0,IF(T155="Moderate activity",1,2))</f>
      </c>
      <c r="V155" s="5" t="s">
        <v>97</v>
      </c>
      <c r="W155" s="10">
        <f>IF(V155="7–8 hours",0,IF(V155="6–7 hours",1,2))</f>
      </c>
      <c r="X155" s="7" t="s">
        <v>102</v>
      </c>
      <c r="Y155" s="7" t="s">
        <v>46</v>
      </c>
      <c r="Z155" s="7" t="s">
        <v>45</v>
      </c>
      <c r="AA155" s="7" t="s">
        <v>42</v>
      </c>
      <c r="AB155" s="7" t="s">
        <v>42</v>
      </c>
      <c r="AC155" s="7" t="s">
        <v>48</v>
      </c>
      <c r="AD155" s="10">
        <f>I155 + Q155 + U155 + W155</f>
      </c>
      <c r="AE155" s="10">
        <f>IF(AD155&lt;=2,0,IF(AD155&lt;=5,1,2))</f>
      </c>
      <c r="AF155" s="7"/>
    </row>
    <row x14ac:dyDescent="0.25" r="156" customHeight="1" ht="17.25" hidden="1">
      <c r="A156" s="7" t="s">
        <v>149</v>
      </c>
      <c r="B156" s="7" t="s">
        <v>71</v>
      </c>
      <c r="C156" s="7" t="s">
        <v>141</v>
      </c>
      <c r="D156" s="10">
        <v>4</v>
      </c>
      <c r="E156" s="7" t="s">
        <v>34</v>
      </c>
      <c r="F156" s="10">
        <v>164</v>
      </c>
      <c r="G156" s="11">
        <v>45</v>
      </c>
      <c r="H156" s="12">
        <f>G156/((F156/100)*(F156/100))</f>
      </c>
      <c r="I156" s="11">
        <f>IF(H156&lt;25,0,IF(H156&lt;30,1,2))</f>
      </c>
      <c r="J156" s="13">
        <v>5</v>
      </c>
      <c r="K156" s="7" t="s">
        <v>86</v>
      </c>
      <c r="L156" s="7" t="s">
        <v>152</v>
      </c>
      <c r="M156" s="7" t="s">
        <v>41</v>
      </c>
      <c r="N156" s="7" t="s">
        <v>38</v>
      </c>
      <c r="O156" s="7" t="s">
        <v>74</v>
      </c>
      <c r="P156" s="7" t="s">
        <v>81</v>
      </c>
      <c r="Q156" s="10">
        <f>IF(P156="None of the above",0,2)</f>
      </c>
      <c r="R156" s="7" t="s">
        <v>56</v>
      </c>
      <c r="S156" s="15" t="s">
        <v>48</v>
      </c>
      <c r="T156" s="7" t="s">
        <v>96</v>
      </c>
      <c r="U156" s="10">
        <f>IF(T156="Heavy physical",0,IF(T156="Moderate activity",1,2))</f>
      </c>
      <c r="V156" s="5" t="s">
        <v>97</v>
      </c>
      <c r="W156" s="10">
        <f>IF(V156="7–8 hours",0,IF(V156="6–7 hours",1,2))</f>
      </c>
      <c r="X156" s="7" t="s">
        <v>45</v>
      </c>
      <c r="Y156" s="7" t="s">
        <v>58</v>
      </c>
      <c r="Z156" s="7" t="s">
        <v>92</v>
      </c>
      <c r="AA156" s="7" t="s">
        <v>48</v>
      </c>
      <c r="AB156" s="7" t="s">
        <v>42</v>
      </c>
      <c r="AC156" s="7" t="s">
        <v>42</v>
      </c>
      <c r="AD156" s="10">
        <f>I156 + Q156 + U156 + W156</f>
      </c>
      <c r="AE156" s="10">
        <f>IF(AD156&lt;=2,0,IF(AD156&lt;=5,1,2))</f>
      </c>
      <c r="AF156" s="7"/>
    </row>
    <row x14ac:dyDescent="0.25" r="157" customHeight="1" ht="17.25" hidden="1">
      <c r="A157" s="7" t="s">
        <v>49</v>
      </c>
      <c r="B157" s="7" t="s">
        <v>66</v>
      </c>
      <c r="C157" s="7" t="s">
        <v>122</v>
      </c>
      <c r="D157" s="10">
        <v>3</v>
      </c>
      <c r="E157" s="7" t="s">
        <v>51</v>
      </c>
      <c r="F157" s="10">
        <v>189</v>
      </c>
      <c r="G157" s="11">
        <v>76</v>
      </c>
      <c r="H157" s="12">
        <f>G157/((F157/100)*(F157/100))</f>
      </c>
      <c r="I157" s="11">
        <f>IF(H157&lt;25,0,IF(H157&lt;30,1,2))</f>
      </c>
      <c r="J157" s="13">
        <v>2</v>
      </c>
      <c r="K157" s="7" t="s">
        <v>35</v>
      </c>
      <c r="L157" s="7" t="s">
        <v>169</v>
      </c>
      <c r="M157" s="7" t="s">
        <v>37</v>
      </c>
      <c r="N157" s="7" t="s">
        <v>38</v>
      </c>
      <c r="O157" s="7" t="s">
        <v>80</v>
      </c>
      <c r="P157" s="15" t="s">
        <v>132</v>
      </c>
      <c r="Q157" s="10">
        <f>IF(P157="None of the above",0,2)</f>
      </c>
      <c r="R157" s="7" t="s">
        <v>56</v>
      </c>
      <c r="S157" s="7" t="s">
        <v>42</v>
      </c>
      <c r="T157" s="7" t="s">
        <v>96</v>
      </c>
      <c r="U157" s="10">
        <f>IF(T157="Heavy physical",0,IF(T157="Moderate activity",1,2))</f>
      </c>
      <c r="V157" s="5" t="s">
        <v>97</v>
      </c>
      <c r="W157" s="10">
        <f>IF(V157="7–8 hours",0,IF(V157="6–7 hours",1,2))</f>
      </c>
      <c r="X157" s="7" t="s">
        <v>70</v>
      </c>
      <c r="Y157" s="7" t="s">
        <v>64</v>
      </c>
      <c r="Z157" s="7" t="s">
        <v>65</v>
      </c>
      <c r="AA157" s="7" t="s">
        <v>42</v>
      </c>
      <c r="AB157" s="7" t="s">
        <v>42</v>
      </c>
      <c r="AC157" s="7" t="s">
        <v>42</v>
      </c>
      <c r="AD157" s="10">
        <f>I157 + Q157 + U157 + W157</f>
      </c>
      <c r="AE157" s="10">
        <f>IF(AD157&lt;=2,0,IF(AD157&lt;=5,1,2))</f>
      </c>
      <c r="AF157" s="7"/>
    </row>
    <row x14ac:dyDescent="0.25" r="158" customHeight="1" ht="17.25" hidden="1">
      <c r="A158" s="7" t="s">
        <v>49</v>
      </c>
      <c r="B158" s="7" t="s">
        <v>84</v>
      </c>
      <c r="C158" s="7" t="s">
        <v>33</v>
      </c>
      <c r="D158" s="10">
        <v>3</v>
      </c>
      <c r="E158" s="7" t="s">
        <v>51</v>
      </c>
      <c r="F158" s="10">
        <v>155</v>
      </c>
      <c r="G158" s="11">
        <v>101</v>
      </c>
      <c r="H158" s="12">
        <f>G158/((F158/100)*(F158/100))</f>
      </c>
      <c r="I158" s="11">
        <f>IF(H158&lt;25,0,IF(H158&lt;30,1,2))</f>
      </c>
      <c r="J158" s="13">
        <v>2</v>
      </c>
      <c r="K158" s="7" t="s">
        <v>86</v>
      </c>
      <c r="L158" s="7" t="s">
        <v>150</v>
      </c>
      <c r="M158" s="7" t="s">
        <v>37</v>
      </c>
      <c r="N158" s="7" t="s">
        <v>38</v>
      </c>
      <c r="O158" s="7" t="s">
        <v>80</v>
      </c>
      <c r="P158" s="7" t="s">
        <v>81</v>
      </c>
      <c r="Q158" s="10">
        <f>IF(P158="None of the above",0,2)</f>
      </c>
      <c r="R158" s="7" t="s">
        <v>56</v>
      </c>
      <c r="S158" s="7" t="s">
        <v>42</v>
      </c>
      <c r="T158" s="7" t="s">
        <v>99</v>
      </c>
      <c r="U158" s="10">
        <f>IF(T158="Heavy physical",0,IF(T158="Moderate activity",1,2))</f>
      </c>
      <c r="V158" s="5" t="s">
        <v>57</v>
      </c>
      <c r="W158" s="10">
        <f>IF(V158="7–8 hours",0,IF(V158="6–7 hours",1,2))</f>
      </c>
      <c r="X158" s="7" t="s">
        <v>45</v>
      </c>
      <c r="Y158" s="7" t="s">
        <v>75</v>
      </c>
      <c r="Z158" s="7" t="s">
        <v>47</v>
      </c>
      <c r="AA158" s="7" t="s">
        <v>42</v>
      </c>
      <c r="AB158" s="7" t="s">
        <v>42</v>
      </c>
      <c r="AC158" s="7" t="s">
        <v>42</v>
      </c>
      <c r="AD158" s="10">
        <f>I158 + Q158 + U158 + W158</f>
      </c>
      <c r="AE158" s="10">
        <f>IF(AD158&lt;=2,0,IF(AD158&lt;=5,1,2))</f>
      </c>
      <c r="AF158" s="7"/>
    </row>
    <row x14ac:dyDescent="0.25" r="159" customHeight="1" ht="17.25" hidden="1">
      <c r="A159" s="7" t="s">
        <v>49</v>
      </c>
      <c r="B159" s="7" t="s">
        <v>84</v>
      </c>
      <c r="C159" s="7" t="s">
        <v>141</v>
      </c>
      <c r="D159" s="10">
        <v>3</v>
      </c>
      <c r="E159" s="7" t="s">
        <v>51</v>
      </c>
      <c r="F159" s="10">
        <v>197</v>
      </c>
      <c r="G159" s="11">
        <v>116</v>
      </c>
      <c r="H159" s="12">
        <f>G159/((F159/100)*(F159/100))</f>
      </c>
      <c r="I159" s="11">
        <f>IF(H159&lt;25,0,IF(H159&lt;30,1,2))</f>
      </c>
      <c r="J159" s="13">
        <v>2</v>
      </c>
      <c r="K159" s="7" t="s">
        <v>61</v>
      </c>
      <c r="L159" s="7" t="s">
        <v>170</v>
      </c>
      <c r="M159" s="7" t="s">
        <v>37</v>
      </c>
      <c r="N159" s="7" t="s">
        <v>38</v>
      </c>
      <c r="O159" s="7" t="s">
        <v>39</v>
      </c>
      <c r="P159" s="7" t="s">
        <v>81</v>
      </c>
      <c r="Q159" s="10">
        <f>IF(P159="None of the above",0,2)</f>
      </c>
      <c r="R159" s="7" t="s">
        <v>56</v>
      </c>
      <c r="S159" s="7" t="s">
        <v>42</v>
      </c>
      <c r="T159" s="7" t="s">
        <v>96</v>
      </c>
      <c r="U159" s="10">
        <f>IF(T159="Heavy physical",0,IF(T159="Moderate activity",1,2))</f>
      </c>
      <c r="V159" s="5" t="s">
        <v>97</v>
      </c>
      <c r="W159" s="10">
        <f>IF(V159="7–8 hours",0,IF(V159="6–7 hours",1,2))</f>
      </c>
      <c r="X159" s="7" t="s">
        <v>102</v>
      </c>
      <c r="Y159" s="7" t="s">
        <v>64</v>
      </c>
      <c r="Z159" s="7" t="s">
        <v>45</v>
      </c>
      <c r="AA159" s="7" t="s">
        <v>42</v>
      </c>
      <c r="AB159" s="7" t="s">
        <v>42</v>
      </c>
      <c r="AC159" s="7" t="s">
        <v>42</v>
      </c>
      <c r="AD159" s="10">
        <f>I159 + Q159 + U159 + W159</f>
      </c>
      <c r="AE159" s="10">
        <f>IF(AD159&lt;=2,0,IF(AD159&lt;=5,1,2))</f>
      </c>
      <c r="AF159" s="7"/>
    </row>
    <row x14ac:dyDescent="0.25" r="160" customHeight="1" ht="17.25" hidden="1">
      <c r="A160" s="7" t="s">
        <v>49</v>
      </c>
      <c r="B160" s="7" t="s">
        <v>71</v>
      </c>
      <c r="C160" s="7" t="s">
        <v>33</v>
      </c>
      <c r="D160" s="10">
        <v>1</v>
      </c>
      <c r="E160" s="7" t="s">
        <v>34</v>
      </c>
      <c r="F160" s="10">
        <v>181</v>
      </c>
      <c r="G160" s="11">
        <v>67</v>
      </c>
      <c r="H160" s="12">
        <f>G160/((F160/100)*(F160/100))</f>
      </c>
      <c r="I160" s="11">
        <f>IF(H160&lt;25,0,IF(H160&lt;30,1,2))</f>
      </c>
      <c r="J160" s="13">
        <v>1</v>
      </c>
      <c r="K160" s="7" t="s">
        <v>35</v>
      </c>
      <c r="L160" s="7" t="s">
        <v>171</v>
      </c>
      <c r="M160" s="7" t="s">
        <v>37</v>
      </c>
      <c r="N160" s="7" t="s">
        <v>38</v>
      </c>
      <c r="O160" s="7" t="s">
        <v>74</v>
      </c>
      <c r="P160" s="7" t="s">
        <v>40</v>
      </c>
      <c r="Q160" s="10">
        <f>IF(P160="None of the above",0,2)</f>
      </c>
      <c r="R160" s="7" t="s">
        <v>56</v>
      </c>
      <c r="S160" s="7" t="s">
        <v>42</v>
      </c>
      <c r="T160" s="7" t="s">
        <v>99</v>
      </c>
      <c r="U160" s="10">
        <f>IF(T160="Heavy physical",0,IF(T160="Moderate activity",1,2))</f>
      </c>
      <c r="V160" s="5" t="s">
        <v>97</v>
      </c>
      <c r="W160" s="10">
        <f>IF(V160="7–8 hours",0,IF(V160="6–7 hours",1,2))</f>
      </c>
      <c r="X160" s="7" t="s">
        <v>70</v>
      </c>
      <c r="Y160" s="7" t="s">
        <v>46</v>
      </c>
      <c r="Z160" s="7" t="s">
        <v>65</v>
      </c>
      <c r="AA160" s="7" t="s">
        <v>48</v>
      </c>
      <c r="AB160" s="7" t="s">
        <v>48</v>
      </c>
      <c r="AC160" s="7" t="s">
        <v>42</v>
      </c>
      <c r="AD160" s="10">
        <f>I160 + Q160 + U160 + W160</f>
      </c>
      <c r="AE160" s="10">
        <f>IF(AD160&lt;=2,0,IF(AD160&lt;=5,1,2))</f>
      </c>
      <c r="AF160" s="7"/>
    </row>
    <row x14ac:dyDescent="0.25" r="161" customHeight="1" ht="17.25" hidden="1">
      <c r="A161" s="7" t="s">
        <v>31</v>
      </c>
      <c r="B161" s="7" t="s">
        <v>93</v>
      </c>
      <c r="C161" s="7" t="s">
        <v>50</v>
      </c>
      <c r="D161" s="10">
        <v>8</v>
      </c>
      <c r="E161" s="7" t="s">
        <v>34</v>
      </c>
      <c r="F161" s="10">
        <v>147</v>
      </c>
      <c r="G161" s="11">
        <v>53</v>
      </c>
      <c r="H161" s="12">
        <f>G161/((F161/100)*(F161/100))</f>
      </c>
      <c r="I161" s="11">
        <f>IF(H161&lt;25,0,IF(H161&lt;30,1,2))</f>
      </c>
      <c r="J161" s="13">
        <v>3</v>
      </c>
      <c r="K161" s="7" t="s">
        <v>61</v>
      </c>
      <c r="L161" s="7" t="s">
        <v>147</v>
      </c>
      <c r="M161" s="7" t="s">
        <v>41</v>
      </c>
      <c r="N161" s="7" t="s">
        <v>38</v>
      </c>
      <c r="O161" s="7" t="s">
        <v>39</v>
      </c>
      <c r="P161" s="7" t="s">
        <v>81</v>
      </c>
      <c r="Q161" s="10">
        <f>IF(P161="None of the above",0,2)</f>
      </c>
      <c r="R161" s="7" t="s">
        <v>56</v>
      </c>
      <c r="S161" s="7" t="s">
        <v>42</v>
      </c>
      <c r="T161" s="7" t="s">
        <v>96</v>
      </c>
      <c r="U161" s="10">
        <f>IF(T161="Heavy physical",0,IF(T161="Moderate activity",1,2))</f>
      </c>
      <c r="V161" s="5" t="s">
        <v>57</v>
      </c>
      <c r="W161" s="10">
        <f>IF(V161="7–8 hours",0,IF(V161="6–7 hours",1,2))</f>
      </c>
      <c r="X161" s="7" t="s">
        <v>83</v>
      </c>
      <c r="Y161" s="7" t="s">
        <v>64</v>
      </c>
      <c r="Z161" s="7" t="s">
        <v>65</v>
      </c>
      <c r="AA161" s="7" t="s">
        <v>42</v>
      </c>
      <c r="AB161" s="7" t="s">
        <v>48</v>
      </c>
      <c r="AC161" s="7" t="s">
        <v>48</v>
      </c>
      <c r="AD161" s="10">
        <f>I161 + Q161 + U161 + W161</f>
      </c>
      <c r="AE161" s="10">
        <f>IF(AD161&lt;=2,0,IF(AD161&lt;=5,1,2))</f>
      </c>
      <c r="AF161" s="7"/>
    </row>
    <row x14ac:dyDescent="0.25" r="162" customHeight="1" ht="17.25" hidden="1">
      <c r="A162" s="7" t="s">
        <v>31</v>
      </c>
      <c r="B162" s="7" t="s">
        <v>93</v>
      </c>
      <c r="C162" s="7" t="s">
        <v>141</v>
      </c>
      <c r="D162" s="10">
        <v>4</v>
      </c>
      <c r="E162" s="7" t="s">
        <v>34</v>
      </c>
      <c r="F162" s="10">
        <v>190</v>
      </c>
      <c r="G162" s="11">
        <v>89</v>
      </c>
      <c r="H162" s="12">
        <f>G162/((F162/100)*(F162/100))</f>
      </c>
      <c r="I162" s="11">
        <f>IF(H162&lt;25,0,IF(H162&lt;30,1,2))</f>
      </c>
      <c r="J162" s="13">
        <v>3</v>
      </c>
      <c r="K162" s="7" t="s">
        <v>72</v>
      </c>
      <c r="L162" s="7" t="s">
        <v>172</v>
      </c>
      <c r="M162" s="7" t="s">
        <v>37</v>
      </c>
      <c r="N162" s="7" t="s">
        <v>38</v>
      </c>
      <c r="O162" s="7" t="s">
        <v>63</v>
      </c>
      <c r="P162" s="7" t="s">
        <v>81</v>
      </c>
      <c r="Q162" s="10">
        <f>IF(P162="None of the above",0,2)</f>
      </c>
      <c r="R162" s="7" t="s">
        <v>56</v>
      </c>
      <c r="S162" s="7" t="s">
        <v>42</v>
      </c>
      <c r="T162" s="7" t="s">
        <v>99</v>
      </c>
      <c r="U162" s="10">
        <f>IF(T162="Heavy physical",0,IF(T162="Moderate activity",1,2))</f>
      </c>
      <c r="V162" s="5" t="s">
        <v>57</v>
      </c>
      <c r="W162" s="10">
        <f>IF(V162="7–8 hours",0,IF(V162="6–7 hours",1,2))</f>
      </c>
      <c r="X162" s="7" t="s">
        <v>83</v>
      </c>
      <c r="Y162" s="7" t="s">
        <v>64</v>
      </c>
      <c r="Z162" s="7" t="s">
        <v>45</v>
      </c>
      <c r="AA162" s="7" t="s">
        <v>48</v>
      </c>
      <c r="AB162" s="7" t="s">
        <v>48</v>
      </c>
      <c r="AC162" s="7" t="s">
        <v>48</v>
      </c>
      <c r="AD162" s="10">
        <f>I162 + Q162 + U162 + W162</f>
      </c>
      <c r="AE162" s="10">
        <f>IF(AD162&lt;=2,0,IF(AD162&lt;=5,1,2))</f>
      </c>
      <c r="AF162" s="7"/>
    </row>
    <row x14ac:dyDescent="0.25" r="163" customHeight="1" ht="17.25" hidden="1">
      <c r="A163" s="7" t="s">
        <v>76</v>
      </c>
      <c r="B163" s="7" t="s">
        <v>84</v>
      </c>
      <c r="C163" s="7" t="s">
        <v>50</v>
      </c>
      <c r="D163" s="10">
        <v>2</v>
      </c>
      <c r="E163" s="7" t="s">
        <v>34</v>
      </c>
      <c r="F163" s="10">
        <v>161</v>
      </c>
      <c r="G163" s="11">
        <v>48</v>
      </c>
      <c r="H163" s="12">
        <f>G163/((F163/100)*(F163/100))</f>
      </c>
      <c r="I163" s="11">
        <f>IF(H163&lt;25,0,IF(H163&lt;30,1,2))</f>
      </c>
      <c r="J163" s="13">
        <v>1</v>
      </c>
      <c r="K163" s="7" t="s">
        <v>52</v>
      </c>
      <c r="L163" s="7" t="s">
        <v>129</v>
      </c>
      <c r="M163" s="7" t="s">
        <v>37</v>
      </c>
      <c r="N163" s="7" t="s">
        <v>38</v>
      </c>
      <c r="O163" s="7" t="s">
        <v>68</v>
      </c>
      <c r="P163" s="7" t="s">
        <v>40</v>
      </c>
      <c r="Q163" s="10">
        <f>IF(P163="None of the above",0,2)</f>
      </c>
      <c r="R163" s="7" t="s">
        <v>56</v>
      </c>
      <c r="S163" s="7" t="s">
        <v>42</v>
      </c>
      <c r="T163" s="7" t="s">
        <v>96</v>
      </c>
      <c r="U163" s="10">
        <f>IF(T163="Heavy physical",0,IF(T163="Moderate activity",1,2))</f>
      </c>
      <c r="V163" s="5" t="s">
        <v>69</v>
      </c>
      <c r="W163" s="10">
        <f>IF(V163="7–8 hours",0,IF(V163="6–7 hours",1,2))</f>
      </c>
      <c r="X163" s="7" t="s">
        <v>45</v>
      </c>
      <c r="Y163" s="7" t="s">
        <v>64</v>
      </c>
      <c r="Z163" s="7" t="s">
        <v>65</v>
      </c>
      <c r="AA163" s="7" t="s">
        <v>42</v>
      </c>
      <c r="AB163" s="7" t="s">
        <v>48</v>
      </c>
      <c r="AC163" s="7" t="s">
        <v>48</v>
      </c>
      <c r="AD163" s="10">
        <f>I163 + Q163 + U163 + W163</f>
      </c>
      <c r="AE163" s="10">
        <f>IF(AD163&lt;=2,0,IF(AD163&lt;=5,1,2))</f>
      </c>
      <c r="AF163" s="7"/>
    </row>
    <row x14ac:dyDescent="0.25" r="164" customHeight="1" ht="17.25" hidden="1">
      <c r="A164" s="7" t="s">
        <v>49</v>
      </c>
      <c r="B164" s="7" t="s">
        <v>32</v>
      </c>
      <c r="C164" s="7" t="s">
        <v>33</v>
      </c>
      <c r="D164" s="10">
        <v>5</v>
      </c>
      <c r="E164" s="7" t="s">
        <v>34</v>
      </c>
      <c r="F164" s="10">
        <v>172</v>
      </c>
      <c r="G164" s="11">
        <v>62</v>
      </c>
      <c r="H164" s="12">
        <f>G164/((F164/100)*(F164/100))</f>
      </c>
      <c r="I164" s="11">
        <f>IF(H164&lt;25,0,IF(H164&lt;30,1,2))</f>
      </c>
      <c r="J164" s="13">
        <v>3</v>
      </c>
      <c r="K164" s="7" t="s">
        <v>105</v>
      </c>
      <c r="L164" s="7" t="s">
        <v>173</v>
      </c>
      <c r="M164" s="7" t="s">
        <v>54</v>
      </c>
      <c r="N164" s="7" t="s">
        <v>38</v>
      </c>
      <c r="O164" s="7" t="s">
        <v>63</v>
      </c>
      <c r="P164" s="7" t="s">
        <v>81</v>
      </c>
      <c r="Q164" s="10">
        <f>IF(P164="None of the above",0,2)</f>
      </c>
      <c r="R164" s="7" t="s">
        <v>56</v>
      </c>
      <c r="S164" s="7" t="s">
        <v>42</v>
      </c>
      <c r="T164" s="7" t="s">
        <v>96</v>
      </c>
      <c r="U164" s="10">
        <f>IF(T164="Heavy physical",0,IF(T164="Moderate activity",1,2))</f>
      </c>
      <c r="V164" s="5" t="s">
        <v>57</v>
      </c>
      <c r="W164" s="10">
        <f>IF(V164="7–8 hours",0,IF(V164="6–7 hours",1,2))</f>
      </c>
      <c r="X164" s="7" t="s">
        <v>83</v>
      </c>
      <c r="Y164" s="7" t="s">
        <v>46</v>
      </c>
      <c r="Z164" s="7" t="s">
        <v>47</v>
      </c>
      <c r="AA164" s="7" t="s">
        <v>42</v>
      </c>
      <c r="AB164" s="7" t="s">
        <v>42</v>
      </c>
      <c r="AC164" s="7" t="s">
        <v>42</v>
      </c>
      <c r="AD164" s="10">
        <f>I164 + Q164 + U164 + W164</f>
      </c>
      <c r="AE164" s="10">
        <f>IF(AD164&lt;=2,0,IF(AD164&lt;=5,1,2))</f>
      </c>
      <c r="AF164" s="7"/>
    </row>
    <row x14ac:dyDescent="0.25" r="165" customHeight="1" ht="17.25" hidden="1">
      <c r="A165" s="7" t="s">
        <v>31</v>
      </c>
      <c r="B165" s="7" t="s">
        <v>77</v>
      </c>
      <c r="C165" s="7" t="s">
        <v>141</v>
      </c>
      <c r="D165" s="10">
        <v>2</v>
      </c>
      <c r="E165" s="7" t="s">
        <v>51</v>
      </c>
      <c r="F165" s="10">
        <v>144</v>
      </c>
      <c r="G165" s="11">
        <v>60</v>
      </c>
      <c r="H165" s="12">
        <f>G165/((F165/100)*(F165/100))</f>
      </c>
      <c r="I165" s="11">
        <f>IF(H165&lt;25,0,IF(H165&lt;30,1,2))</f>
      </c>
      <c r="J165" s="13">
        <v>1</v>
      </c>
      <c r="K165" s="7" t="s">
        <v>72</v>
      </c>
      <c r="L165" s="7" t="s">
        <v>147</v>
      </c>
      <c r="M165" s="7" t="s">
        <v>37</v>
      </c>
      <c r="N165" s="7" t="s">
        <v>38</v>
      </c>
      <c r="O165" s="7" t="s">
        <v>68</v>
      </c>
      <c r="P165" s="7" t="s">
        <v>81</v>
      </c>
      <c r="Q165" s="10">
        <f>IF(P165="None of the above",0,2)</f>
      </c>
      <c r="R165" s="7" t="s">
        <v>56</v>
      </c>
      <c r="S165" s="7" t="s">
        <v>42</v>
      </c>
      <c r="T165" s="7" t="s">
        <v>82</v>
      </c>
      <c r="U165" s="10">
        <f>IF(T165="Heavy physical",0,IF(T165="Moderate activity",1,2))</f>
      </c>
      <c r="V165" s="5" t="s">
        <v>44</v>
      </c>
      <c r="W165" s="10">
        <f>IF(V165="7–8 hours",0,IF(V165="6–7 hours",1,2))</f>
      </c>
      <c r="X165" s="7" t="s">
        <v>45</v>
      </c>
      <c r="Y165" s="7" t="s">
        <v>64</v>
      </c>
      <c r="Z165" s="7" t="s">
        <v>92</v>
      </c>
      <c r="AA165" s="7" t="s">
        <v>42</v>
      </c>
      <c r="AB165" s="7" t="s">
        <v>42</v>
      </c>
      <c r="AC165" s="7" t="s">
        <v>42</v>
      </c>
      <c r="AD165" s="10">
        <f>I165 + Q165 + U165 + W165</f>
      </c>
      <c r="AE165" s="10">
        <f>IF(AD165&lt;=2,0,IF(AD165&lt;=5,1,2))</f>
      </c>
      <c r="AF165" s="7"/>
    </row>
    <row x14ac:dyDescent="0.25" r="166" customHeight="1" ht="17.25" hidden="1">
      <c r="A166" s="7" t="s">
        <v>76</v>
      </c>
      <c r="B166" s="7" t="s">
        <v>84</v>
      </c>
      <c r="C166" s="7" t="s">
        <v>122</v>
      </c>
      <c r="D166" s="10">
        <v>8</v>
      </c>
      <c r="E166" s="7" t="s">
        <v>51</v>
      </c>
      <c r="F166" s="10">
        <v>190</v>
      </c>
      <c r="G166" s="11">
        <v>67</v>
      </c>
      <c r="H166" s="12">
        <f>G166/((F166/100)*(F166/100))</f>
      </c>
      <c r="I166" s="11">
        <f>IF(H166&lt;25,0,IF(H166&lt;30,1,2))</f>
      </c>
      <c r="J166" s="13">
        <v>1</v>
      </c>
      <c r="K166" s="7" t="s">
        <v>52</v>
      </c>
      <c r="L166" s="7" t="s">
        <v>152</v>
      </c>
      <c r="M166" s="7" t="s">
        <v>37</v>
      </c>
      <c r="N166" s="7" t="s">
        <v>38</v>
      </c>
      <c r="O166" s="7" t="s">
        <v>68</v>
      </c>
      <c r="P166" s="7" t="s">
        <v>81</v>
      </c>
      <c r="Q166" s="10">
        <f>IF(P166="None of the above",0,2)</f>
      </c>
      <c r="R166" s="7" t="s">
        <v>56</v>
      </c>
      <c r="S166" s="15" t="s">
        <v>48</v>
      </c>
      <c r="T166" s="7" t="s">
        <v>99</v>
      </c>
      <c r="U166" s="10">
        <f>IF(T166="Heavy physical",0,IF(T166="Moderate activity",1,2))</f>
      </c>
      <c r="V166" s="5" t="s">
        <v>69</v>
      </c>
      <c r="W166" s="10">
        <f>IF(V166="7–8 hours",0,IF(V166="6–7 hours",1,2))</f>
      </c>
      <c r="X166" s="7" t="s">
        <v>102</v>
      </c>
      <c r="Y166" s="15" t="s">
        <v>64</v>
      </c>
      <c r="Z166" s="7" t="s">
        <v>45</v>
      </c>
      <c r="AA166" s="7" t="s">
        <v>42</v>
      </c>
      <c r="AB166" s="7" t="s">
        <v>42</v>
      </c>
      <c r="AC166" s="7" t="s">
        <v>42</v>
      </c>
      <c r="AD166" s="10">
        <f>I166 + Q166 + U166 + W166</f>
      </c>
      <c r="AE166" s="10">
        <f>IF(AD166&lt;=2,0,IF(AD166&lt;=5,1,2))</f>
      </c>
      <c r="AF166" s="7"/>
    </row>
    <row x14ac:dyDescent="0.25" r="167" customHeight="1" ht="17.25" hidden="1">
      <c r="A167" s="7" t="s">
        <v>76</v>
      </c>
      <c r="B167" s="7" t="s">
        <v>93</v>
      </c>
      <c r="C167" s="7" t="s">
        <v>141</v>
      </c>
      <c r="D167" s="10">
        <v>5</v>
      </c>
      <c r="E167" s="7" t="s">
        <v>34</v>
      </c>
      <c r="F167" s="10">
        <v>189</v>
      </c>
      <c r="G167" s="11">
        <v>99</v>
      </c>
      <c r="H167" s="12">
        <f>G167/((F167/100)*(F167/100))</f>
      </c>
      <c r="I167" s="11">
        <f>IF(H167&lt;25,0,IF(H167&lt;30,1,2))</f>
      </c>
      <c r="J167" s="13">
        <v>3</v>
      </c>
      <c r="K167" s="7" t="s">
        <v>35</v>
      </c>
      <c r="L167" s="7" t="s">
        <v>174</v>
      </c>
      <c r="M167" s="7" t="s">
        <v>37</v>
      </c>
      <c r="N167" s="7" t="s">
        <v>38</v>
      </c>
      <c r="O167" s="7" t="s">
        <v>80</v>
      </c>
      <c r="P167" s="15" t="s">
        <v>132</v>
      </c>
      <c r="Q167" s="10">
        <f>IF(P167="None of the above",0,2)</f>
      </c>
      <c r="R167" s="7" t="s">
        <v>56</v>
      </c>
      <c r="S167" s="15" t="s">
        <v>48</v>
      </c>
      <c r="T167" s="7" t="s">
        <v>96</v>
      </c>
      <c r="U167" s="10">
        <f>IF(T167="Heavy physical",0,IF(T167="Moderate activity",1,2))</f>
      </c>
      <c r="V167" s="5" t="s">
        <v>69</v>
      </c>
      <c r="W167" s="10">
        <f>IF(V167="7–8 hours",0,IF(V167="6–7 hours",1,2))</f>
      </c>
      <c r="X167" s="7" t="s">
        <v>83</v>
      </c>
      <c r="Y167" s="7" t="s">
        <v>75</v>
      </c>
      <c r="Z167" s="7" t="s">
        <v>47</v>
      </c>
      <c r="AA167" s="7" t="s">
        <v>42</v>
      </c>
      <c r="AB167" s="7" t="s">
        <v>48</v>
      </c>
      <c r="AC167" s="7" t="s">
        <v>48</v>
      </c>
      <c r="AD167" s="10">
        <f>I167 + Q167 + U167 + W167</f>
      </c>
      <c r="AE167" s="10">
        <f>IF(AD167&lt;=2,0,IF(AD167&lt;=5,1,2))</f>
      </c>
      <c r="AF167" s="7"/>
    </row>
    <row x14ac:dyDescent="0.25" r="168" customHeight="1" ht="17.25" hidden="1">
      <c r="A168" s="7" t="s">
        <v>49</v>
      </c>
      <c r="B168" s="7" t="s">
        <v>59</v>
      </c>
      <c r="C168" s="7" t="s">
        <v>33</v>
      </c>
      <c r="D168" s="10">
        <v>5</v>
      </c>
      <c r="E168" s="7" t="s">
        <v>34</v>
      </c>
      <c r="F168" s="10">
        <v>184</v>
      </c>
      <c r="G168" s="11">
        <v>99</v>
      </c>
      <c r="H168" s="12">
        <f>G168/((F168/100)*(F168/100))</f>
      </c>
      <c r="I168" s="11">
        <f>IF(H168&lt;25,0,IF(H168&lt;30,1,2))</f>
      </c>
      <c r="J168" s="13">
        <v>1</v>
      </c>
      <c r="K168" s="7" t="s">
        <v>35</v>
      </c>
      <c r="L168" s="7" t="s">
        <v>145</v>
      </c>
      <c r="M168" s="7" t="s">
        <v>54</v>
      </c>
      <c r="N168" s="7" t="s">
        <v>38</v>
      </c>
      <c r="O168" s="7" t="s">
        <v>63</v>
      </c>
      <c r="P168" s="7" t="s">
        <v>40</v>
      </c>
      <c r="Q168" s="10">
        <f>IF(P168="None of the above",0,2)</f>
      </c>
      <c r="R168" s="7" t="s">
        <v>56</v>
      </c>
      <c r="S168" s="15" t="s">
        <v>48</v>
      </c>
      <c r="T168" s="7" t="s">
        <v>96</v>
      </c>
      <c r="U168" s="10">
        <f>IF(T168="Heavy physical",0,IF(T168="Moderate activity",1,2))</f>
      </c>
      <c r="V168" s="5" t="s">
        <v>69</v>
      </c>
      <c r="W168" s="10">
        <f>IF(V168="7–8 hours",0,IF(V168="6–7 hours",1,2))</f>
      </c>
      <c r="X168" s="7" t="s">
        <v>102</v>
      </c>
      <c r="Y168" s="15" t="s">
        <v>64</v>
      </c>
      <c r="Z168" s="7" t="s">
        <v>47</v>
      </c>
      <c r="AA168" s="7" t="s">
        <v>42</v>
      </c>
      <c r="AB168" s="7" t="s">
        <v>48</v>
      </c>
      <c r="AC168" s="7" t="s">
        <v>42</v>
      </c>
      <c r="AD168" s="10">
        <f>I168 + Q168 + U168 + W168</f>
      </c>
      <c r="AE168" s="10">
        <f>IF(AD168&lt;=2,0,IF(AD168&lt;=5,1,2))</f>
      </c>
      <c r="AF168" s="7"/>
    </row>
    <row x14ac:dyDescent="0.25" r="169" customHeight="1" ht="17.25" hidden="1">
      <c r="A169" s="7" t="s">
        <v>49</v>
      </c>
      <c r="B169" s="7" t="s">
        <v>71</v>
      </c>
      <c r="C169" s="7" t="s">
        <v>50</v>
      </c>
      <c r="D169" s="10">
        <v>5</v>
      </c>
      <c r="E169" s="7" t="s">
        <v>34</v>
      </c>
      <c r="F169" s="10">
        <v>154</v>
      </c>
      <c r="G169" s="11">
        <v>94</v>
      </c>
      <c r="H169" s="12">
        <f>G169/((F169/100)*(F169/100))</f>
      </c>
      <c r="I169" s="11">
        <f>IF(H169&lt;25,0,IF(H169&lt;30,1,2))</f>
      </c>
      <c r="J169" s="13">
        <v>1</v>
      </c>
      <c r="K169" s="7" t="s">
        <v>72</v>
      </c>
      <c r="L169" s="7" t="s">
        <v>36</v>
      </c>
      <c r="M169" s="7" t="s">
        <v>37</v>
      </c>
      <c r="N169" s="7" t="s">
        <v>38</v>
      </c>
      <c r="O169" s="7" t="s">
        <v>39</v>
      </c>
      <c r="P169" s="7" t="s">
        <v>81</v>
      </c>
      <c r="Q169" s="10">
        <f>IF(P169="None of the above",0,2)</f>
      </c>
      <c r="R169" s="7" t="s">
        <v>56</v>
      </c>
      <c r="S169" s="15" t="s">
        <v>48</v>
      </c>
      <c r="T169" s="7" t="s">
        <v>96</v>
      </c>
      <c r="U169" s="10">
        <f>IF(T169="Heavy physical",0,IF(T169="Moderate activity",1,2))</f>
      </c>
      <c r="V169" s="5" t="s">
        <v>44</v>
      </c>
      <c r="W169" s="10">
        <f>IF(V169="7–8 hours",0,IF(V169="6–7 hours",1,2))</f>
      </c>
      <c r="X169" s="7" t="s">
        <v>70</v>
      </c>
      <c r="Y169" s="7" t="s">
        <v>58</v>
      </c>
      <c r="Z169" s="7" t="s">
        <v>47</v>
      </c>
      <c r="AA169" s="7" t="s">
        <v>42</v>
      </c>
      <c r="AB169" s="7" t="s">
        <v>48</v>
      </c>
      <c r="AC169" s="7" t="s">
        <v>42</v>
      </c>
      <c r="AD169" s="10">
        <f>I169 + Q169 + U169 + W169</f>
      </c>
      <c r="AE169" s="10">
        <f>IF(AD169&lt;=2,0,IF(AD169&lt;=5,1,2))</f>
      </c>
      <c r="AF169" s="7"/>
    </row>
    <row x14ac:dyDescent="0.25" r="170" customHeight="1" ht="17.25" hidden="1">
      <c r="A170" s="7" t="s">
        <v>76</v>
      </c>
      <c r="B170" s="7" t="s">
        <v>93</v>
      </c>
      <c r="C170" s="16" t="s">
        <v>126</v>
      </c>
      <c r="D170" s="10">
        <v>6</v>
      </c>
      <c r="E170" s="7" t="s">
        <v>34</v>
      </c>
      <c r="F170" s="10">
        <v>197</v>
      </c>
      <c r="G170" s="11">
        <v>73</v>
      </c>
      <c r="H170" s="12">
        <f>G170/((F170/100)*(F170/100))</f>
      </c>
      <c r="I170" s="11">
        <f>IF(H170&lt;25,0,IF(H170&lt;30,1,2))</f>
      </c>
      <c r="J170" s="13">
        <v>1</v>
      </c>
      <c r="K170" s="7" t="s">
        <v>86</v>
      </c>
      <c r="L170" s="7" t="s">
        <v>175</v>
      </c>
      <c r="M170" s="7" t="s">
        <v>37</v>
      </c>
      <c r="N170" s="7" t="s">
        <v>38</v>
      </c>
      <c r="O170" s="7" t="s">
        <v>80</v>
      </c>
      <c r="P170" s="7" t="s">
        <v>81</v>
      </c>
      <c r="Q170" s="10">
        <f>IF(P170="None of the above",0,2)</f>
      </c>
      <c r="R170" s="7" t="s">
        <v>56</v>
      </c>
      <c r="S170" s="7" t="s">
        <v>42</v>
      </c>
      <c r="T170" s="7" t="s">
        <v>99</v>
      </c>
      <c r="U170" s="10">
        <f>IF(T170="Heavy physical",0,IF(T170="Moderate activity",1,2))</f>
      </c>
      <c r="V170" s="5" t="s">
        <v>44</v>
      </c>
      <c r="W170" s="10">
        <f>IF(V170="7–8 hours",0,IF(V170="6–7 hours",1,2))</f>
      </c>
      <c r="X170" s="7" t="s">
        <v>83</v>
      </c>
      <c r="Y170" s="15" t="s">
        <v>64</v>
      </c>
      <c r="Z170" s="7" t="s">
        <v>45</v>
      </c>
      <c r="AA170" s="7" t="s">
        <v>48</v>
      </c>
      <c r="AB170" s="7" t="s">
        <v>42</v>
      </c>
      <c r="AC170" s="7" t="s">
        <v>48</v>
      </c>
      <c r="AD170" s="10">
        <f>I170 + Q170 + U170 + W170</f>
      </c>
      <c r="AE170" s="10">
        <f>IF(AD170&lt;=2,0,IF(AD170&lt;=5,1,2))</f>
      </c>
      <c r="AF170" s="7"/>
    </row>
    <row x14ac:dyDescent="0.25" r="171" customHeight="1" ht="17.25" hidden="1">
      <c r="A171" s="7" t="s">
        <v>76</v>
      </c>
      <c r="B171" s="7" t="s">
        <v>93</v>
      </c>
      <c r="C171" s="7" t="s">
        <v>33</v>
      </c>
      <c r="D171" s="10">
        <v>3</v>
      </c>
      <c r="E171" s="7" t="s">
        <v>51</v>
      </c>
      <c r="F171" s="10">
        <v>172</v>
      </c>
      <c r="G171" s="11">
        <v>76</v>
      </c>
      <c r="H171" s="12">
        <f>G171/((F171/100)*(F171/100))</f>
      </c>
      <c r="I171" s="11">
        <f>IF(H171&lt;25,0,IF(H171&lt;30,1,2))</f>
      </c>
      <c r="J171" s="13">
        <v>1</v>
      </c>
      <c r="K171" s="7" t="s">
        <v>86</v>
      </c>
      <c r="L171" s="7" t="s">
        <v>36</v>
      </c>
      <c r="M171" s="7" t="s">
        <v>37</v>
      </c>
      <c r="N171" s="7" t="s">
        <v>38</v>
      </c>
      <c r="O171" s="7" t="s">
        <v>63</v>
      </c>
      <c r="P171" s="7" t="s">
        <v>40</v>
      </c>
      <c r="Q171" s="10">
        <f>IF(P171="None of the above",0,2)</f>
      </c>
      <c r="R171" s="7" t="s">
        <v>56</v>
      </c>
      <c r="S171" s="15" t="s">
        <v>48</v>
      </c>
      <c r="T171" s="7" t="s">
        <v>96</v>
      </c>
      <c r="U171" s="10">
        <f>IF(T171="Heavy physical",0,IF(T171="Moderate activity",1,2))</f>
      </c>
      <c r="V171" s="5" t="s">
        <v>44</v>
      </c>
      <c r="W171" s="10">
        <f>IF(V171="7–8 hours",0,IF(V171="6–7 hours",1,2))</f>
      </c>
      <c r="X171" s="7" t="s">
        <v>45</v>
      </c>
      <c r="Y171" s="15" t="s">
        <v>64</v>
      </c>
      <c r="Z171" s="7" t="s">
        <v>92</v>
      </c>
      <c r="AA171" s="7" t="s">
        <v>42</v>
      </c>
      <c r="AB171" s="7" t="s">
        <v>42</v>
      </c>
      <c r="AC171" s="7" t="s">
        <v>42</v>
      </c>
      <c r="AD171" s="10">
        <f>I171 + Q171 + U171 + W171</f>
      </c>
      <c r="AE171" s="10">
        <f>IF(AD171&lt;=2,0,IF(AD171&lt;=5,1,2))</f>
      </c>
      <c r="AF171" s="7"/>
    </row>
    <row x14ac:dyDescent="0.25" r="172" customHeight="1" ht="17.25" hidden="1">
      <c r="A172" s="7" t="s">
        <v>76</v>
      </c>
      <c r="B172" s="7" t="s">
        <v>66</v>
      </c>
      <c r="C172" s="7" t="s">
        <v>122</v>
      </c>
      <c r="D172" s="10">
        <v>1</v>
      </c>
      <c r="E172" s="7" t="s">
        <v>51</v>
      </c>
      <c r="F172" s="10">
        <v>152</v>
      </c>
      <c r="G172" s="11">
        <v>69</v>
      </c>
      <c r="H172" s="12">
        <f>G172/((F172/100)*(F172/100))</f>
      </c>
      <c r="I172" s="11">
        <f>IF(H172&lt;25,0,IF(H172&lt;30,1,2))</f>
      </c>
      <c r="J172" s="13">
        <v>3</v>
      </c>
      <c r="K172" s="7" t="s">
        <v>52</v>
      </c>
      <c r="L172" s="7" t="s">
        <v>94</v>
      </c>
      <c r="M172" s="7" t="s">
        <v>41</v>
      </c>
      <c r="N172" s="7" t="s">
        <v>38</v>
      </c>
      <c r="O172" s="7" t="s">
        <v>39</v>
      </c>
      <c r="P172" s="15" t="s">
        <v>132</v>
      </c>
      <c r="Q172" s="10">
        <f>IF(P172="None of the above",0,2)</f>
      </c>
      <c r="R172" s="7" t="s">
        <v>56</v>
      </c>
      <c r="S172" s="15" t="s">
        <v>48</v>
      </c>
      <c r="T172" s="7" t="s">
        <v>96</v>
      </c>
      <c r="U172" s="10">
        <f>IF(T172="Heavy physical",0,IF(T172="Moderate activity",1,2))</f>
      </c>
      <c r="V172" s="5" t="s">
        <v>57</v>
      </c>
      <c r="W172" s="10">
        <f>IF(V172="7–8 hours",0,IF(V172="6–7 hours",1,2))</f>
      </c>
      <c r="X172" s="7" t="s">
        <v>45</v>
      </c>
      <c r="Y172" s="15" t="s">
        <v>64</v>
      </c>
      <c r="Z172" s="7" t="s">
        <v>47</v>
      </c>
      <c r="AA172" s="7" t="s">
        <v>42</v>
      </c>
      <c r="AB172" s="7" t="s">
        <v>42</v>
      </c>
      <c r="AC172" s="7" t="s">
        <v>42</v>
      </c>
      <c r="AD172" s="10">
        <f>I172 + Q172 + U172 + W172</f>
      </c>
      <c r="AE172" s="10">
        <f>IF(AD172&lt;=2,0,IF(AD172&lt;=5,1,2))</f>
      </c>
      <c r="AF172" s="7"/>
    </row>
    <row x14ac:dyDescent="0.25" r="173" customHeight="1" ht="17.25" hidden="1">
      <c r="A173" s="7" t="s">
        <v>76</v>
      </c>
      <c r="B173" s="7" t="s">
        <v>84</v>
      </c>
      <c r="C173" s="7" t="s">
        <v>50</v>
      </c>
      <c r="D173" s="10">
        <v>4</v>
      </c>
      <c r="E173" s="7" t="s">
        <v>34</v>
      </c>
      <c r="F173" s="10">
        <v>189</v>
      </c>
      <c r="G173" s="11">
        <v>99</v>
      </c>
      <c r="H173" s="12">
        <f>G173/((F173/100)*(F173/100))</f>
      </c>
      <c r="I173" s="11">
        <f>IF(H173&lt;25,0,IF(H173&lt;30,1,2))</f>
      </c>
      <c r="J173" s="13">
        <v>3</v>
      </c>
      <c r="K173" s="7" t="s">
        <v>105</v>
      </c>
      <c r="L173" s="7" t="s">
        <v>103</v>
      </c>
      <c r="M173" s="7" t="s">
        <v>41</v>
      </c>
      <c r="N173" s="7" t="s">
        <v>38</v>
      </c>
      <c r="O173" s="7" t="s">
        <v>63</v>
      </c>
      <c r="P173" s="7" t="s">
        <v>81</v>
      </c>
      <c r="Q173" s="10">
        <f>IF(P173="None of the above",0,2)</f>
      </c>
      <c r="R173" s="7" t="s">
        <v>56</v>
      </c>
      <c r="S173" s="15" t="s">
        <v>48</v>
      </c>
      <c r="T173" s="7" t="s">
        <v>96</v>
      </c>
      <c r="U173" s="10">
        <f>IF(T173="Heavy physical",0,IF(T173="Moderate activity",1,2))</f>
      </c>
      <c r="V173" s="5" t="s">
        <v>57</v>
      </c>
      <c r="W173" s="10">
        <f>IF(V173="7–8 hours",0,IF(V173="6–7 hours",1,2))</f>
      </c>
      <c r="X173" s="7" t="s">
        <v>70</v>
      </c>
      <c r="Y173" s="7" t="s">
        <v>58</v>
      </c>
      <c r="Z173" s="7" t="s">
        <v>45</v>
      </c>
      <c r="AA173" s="7" t="s">
        <v>48</v>
      </c>
      <c r="AB173" s="7" t="s">
        <v>42</v>
      </c>
      <c r="AC173" s="7" t="s">
        <v>42</v>
      </c>
      <c r="AD173" s="10">
        <f>I173 + Q173 + U173 + W173</f>
      </c>
      <c r="AE173" s="10">
        <f>IF(AD173&lt;=2,0,IF(AD173&lt;=5,1,2))</f>
      </c>
      <c r="AF173" s="7"/>
    </row>
    <row x14ac:dyDescent="0.25" r="174" customHeight="1" ht="17.25" hidden="1">
      <c r="A174" s="7" t="s">
        <v>76</v>
      </c>
      <c r="B174" s="7" t="s">
        <v>59</v>
      </c>
      <c r="C174" s="7" t="s">
        <v>50</v>
      </c>
      <c r="D174" s="10">
        <v>5</v>
      </c>
      <c r="E174" s="7" t="s">
        <v>34</v>
      </c>
      <c r="F174" s="10">
        <v>163</v>
      </c>
      <c r="G174" s="11">
        <v>113</v>
      </c>
      <c r="H174" s="12">
        <f>G174/((F174/100)*(F174/100))</f>
      </c>
      <c r="I174" s="11">
        <f>IF(H174&lt;25,0,IF(H174&lt;30,1,2))</f>
      </c>
      <c r="J174" s="13">
        <v>2</v>
      </c>
      <c r="K174" s="7" t="s">
        <v>52</v>
      </c>
      <c r="L174" s="7" t="s">
        <v>147</v>
      </c>
      <c r="M174" s="7" t="s">
        <v>54</v>
      </c>
      <c r="N174" s="7" t="s">
        <v>38</v>
      </c>
      <c r="O174" s="7" t="s">
        <v>39</v>
      </c>
      <c r="P174" s="7" t="s">
        <v>81</v>
      </c>
      <c r="Q174" s="10">
        <f>IF(P174="None of the above",0,2)</f>
      </c>
      <c r="R174" s="7" t="s">
        <v>56</v>
      </c>
      <c r="S174" s="15" t="s">
        <v>48</v>
      </c>
      <c r="T174" s="7" t="s">
        <v>96</v>
      </c>
      <c r="U174" s="10">
        <f>IF(T174="Heavy physical",0,IF(T174="Moderate activity",1,2))</f>
      </c>
      <c r="V174" s="5" t="s">
        <v>57</v>
      </c>
      <c r="W174" s="10">
        <f>IF(V174="7–8 hours",0,IF(V174="6–7 hours",1,2))</f>
      </c>
      <c r="X174" s="7" t="s">
        <v>102</v>
      </c>
      <c r="Y174" s="15" t="s">
        <v>64</v>
      </c>
      <c r="Z174" s="7" t="s">
        <v>65</v>
      </c>
      <c r="AA174" s="7" t="s">
        <v>42</v>
      </c>
      <c r="AB174" s="7" t="s">
        <v>42</v>
      </c>
      <c r="AC174" s="7" t="s">
        <v>48</v>
      </c>
      <c r="AD174" s="10">
        <f>I174 + Q174 + U174 + W174</f>
      </c>
      <c r="AE174" s="10">
        <f>IF(AD174&lt;=2,0,IF(AD174&lt;=5,1,2))</f>
      </c>
      <c r="AF174" s="7"/>
    </row>
    <row x14ac:dyDescent="0.25" r="175" customHeight="1" ht="17.25" hidden="1">
      <c r="A175" s="7" t="s">
        <v>31</v>
      </c>
      <c r="B175" s="7" t="s">
        <v>93</v>
      </c>
      <c r="C175" s="7" t="s">
        <v>50</v>
      </c>
      <c r="D175" s="10">
        <v>5</v>
      </c>
      <c r="E175" s="7" t="s">
        <v>34</v>
      </c>
      <c r="F175" s="10">
        <v>145</v>
      </c>
      <c r="G175" s="11">
        <v>49</v>
      </c>
      <c r="H175" s="12">
        <f>G175/((F175/100)*(F175/100))</f>
      </c>
      <c r="I175" s="11">
        <f>IF(H175&lt;25,0,IF(H175&lt;30,1,2))</f>
      </c>
      <c r="J175" s="13">
        <v>3</v>
      </c>
      <c r="K175" s="7" t="s">
        <v>35</v>
      </c>
      <c r="L175" s="7" t="s">
        <v>124</v>
      </c>
      <c r="M175" s="7" t="s">
        <v>37</v>
      </c>
      <c r="N175" s="7" t="s">
        <v>38</v>
      </c>
      <c r="O175" s="7" t="s">
        <v>68</v>
      </c>
      <c r="P175" s="7" t="s">
        <v>81</v>
      </c>
      <c r="Q175" s="10">
        <f>IF(P175="None of the above",0,2)</f>
      </c>
      <c r="R175" s="7" t="s">
        <v>56</v>
      </c>
      <c r="S175" s="7" t="s">
        <v>42</v>
      </c>
      <c r="T175" s="7" t="s">
        <v>96</v>
      </c>
      <c r="U175" s="10">
        <f>IF(T175="Heavy physical",0,IF(T175="Moderate activity",1,2))</f>
      </c>
      <c r="V175" s="5" t="s">
        <v>57</v>
      </c>
      <c r="W175" s="10">
        <f>IF(V175="7–8 hours",0,IF(V175="6–7 hours",1,2))</f>
      </c>
      <c r="X175" s="7" t="s">
        <v>70</v>
      </c>
      <c r="Y175" s="7" t="s">
        <v>46</v>
      </c>
      <c r="Z175" s="7" t="s">
        <v>65</v>
      </c>
      <c r="AA175" s="7" t="s">
        <v>48</v>
      </c>
      <c r="AB175" s="7" t="s">
        <v>48</v>
      </c>
      <c r="AC175" s="7" t="s">
        <v>42</v>
      </c>
      <c r="AD175" s="10">
        <f>I175 + Q175 + U175 + W175</f>
      </c>
      <c r="AE175" s="10">
        <f>IF(AD175&lt;=2,0,IF(AD175&lt;=5,1,2))</f>
      </c>
      <c r="AF175" s="7"/>
    </row>
    <row x14ac:dyDescent="0.25" r="176" customHeight="1" ht="17.25" hidden="1">
      <c r="A176" s="7" t="s">
        <v>49</v>
      </c>
      <c r="B176" s="7" t="s">
        <v>93</v>
      </c>
      <c r="C176" s="7" t="s">
        <v>50</v>
      </c>
      <c r="D176" s="10">
        <v>4</v>
      </c>
      <c r="E176" s="7" t="s">
        <v>34</v>
      </c>
      <c r="F176" s="10">
        <v>173</v>
      </c>
      <c r="G176" s="11">
        <v>69</v>
      </c>
      <c r="H176" s="12">
        <f>G176/((F176/100)*(F176/100))</f>
      </c>
      <c r="I176" s="11">
        <f>IF(H176&lt;25,0,IF(H176&lt;30,1,2))</f>
      </c>
      <c r="J176" s="13">
        <v>3</v>
      </c>
      <c r="K176" s="7" t="s">
        <v>61</v>
      </c>
      <c r="L176" s="7" t="s">
        <v>125</v>
      </c>
      <c r="M176" s="7" t="s">
        <v>37</v>
      </c>
      <c r="N176" s="7" t="s">
        <v>38</v>
      </c>
      <c r="O176" s="7" t="s">
        <v>68</v>
      </c>
      <c r="P176" s="7" t="s">
        <v>40</v>
      </c>
      <c r="Q176" s="10">
        <f>IF(P176="None of the above",0,2)</f>
      </c>
      <c r="R176" s="7" t="s">
        <v>56</v>
      </c>
      <c r="S176" s="15" t="s">
        <v>48</v>
      </c>
      <c r="T176" s="7" t="s">
        <v>96</v>
      </c>
      <c r="U176" s="10">
        <f>IF(T176="Heavy physical",0,IF(T176="Moderate activity",1,2))</f>
      </c>
      <c r="V176" s="5" t="s">
        <v>57</v>
      </c>
      <c r="W176" s="10">
        <f>IF(V176="7–8 hours",0,IF(V176="6–7 hours",1,2))</f>
      </c>
      <c r="X176" s="7" t="s">
        <v>83</v>
      </c>
      <c r="Y176" s="15" t="s">
        <v>64</v>
      </c>
      <c r="Z176" s="7" t="s">
        <v>45</v>
      </c>
      <c r="AA176" s="7" t="s">
        <v>42</v>
      </c>
      <c r="AB176" s="7" t="s">
        <v>48</v>
      </c>
      <c r="AC176" s="7" t="s">
        <v>48</v>
      </c>
      <c r="AD176" s="10">
        <f>I176 + Q176 + U176 + W176</f>
      </c>
      <c r="AE176" s="10">
        <f>IF(AD176&lt;=2,0,IF(AD176&lt;=5,1,2))</f>
      </c>
      <c r="AF176" s="7"/>
    </row>
    <row x14ac:dyDescent="0.25" r="177" customHeight="1" ht="17.25" hidden="1">
      <c r="A177" s="7" t="s">
        <v>49</v>
      </c>
      <c r="B177" s="7" t="s">
        <v>66</v>
      </c>
      <c r="C177" s="7" t="s">
        <v>50</v>
      </c>
      <c r="D177" s="10">
        <v>5</v>
      </c>
      <c r="E177" s="7" t="s">
        <v>51</v>
      </c>
      <c r="F177" s="10">
        <v>163</v>
      </c>
      <c r="G177" s="11">
        <v>67</v>
      </c>
      <c r="H177" s="12">
        <f>G177/((F177/100)*(F177/100))</f>
      </c>
      <c r="I177" s="11">
        <f>IF(H177&lt;25,0,IF(H177&lt;30,1,2))</f>
      </c>
      <c r="J177" s="13">
        <v>1</v>
      </c>
      <c r="K177" s="7" t="s">
        <v>61</v>
      </c>
      <c r="L177" s="7" t="s">
        <v>36</v>
      </c>
      <c r="M177" s="7" t="s">
        <v>37</v>
      </c>
      <c r="N177" s="7" t="s">
        <v>38</v>
      </c>
      <c r="O177" s="7" t="s">
        <v>74</v>
      </c>
      <c r="P177" s="7" t="s">
        <v>81</v>
      </c>
      <c r="Q177" s="10">
        <f>IF(P177="None of the above",0,2)</f>
      </c>
      <c r="R177" s="7" t="s">
        <v>56</v>
      </c>
      <c r="S177" s="7" t="s">
        <v>42</v>
      </c>
      <c r="T177" s="7" t="s">
        <v>96</v>
      </c>
      <c r="U177" s="10">
        <f>IF(T177="Heavy physical",0,IF(T177="Moderate activity",1,2))</f>
      </c>
      <c r="V177" s="5" t="s">
        <v>57</v>
      </c>
      <c r="W177" s="10">
        <f>IF(V177="7–8 hours",0,IF(V177="6–7 hours",1,2))</f>
      </c>
      <c r="X177" s="7" t="s">
        <v>102</v>
      </c>
      <c r="Y177" s="15" t="s">
        <v>64</v>
      </c>
      <c r="Z177" s="7" t="s">
        <v>92</v>
      </c>
      <c r="AA177" s="7" t="s">
        <v>42</v>
      </c>
      <c r="AB177" s="7" t="s">
        <v>42</v>
      </c>
      <c r="AC177" s="7" t="s">
        <v>42</v>
      </c>
      <c r="AD177" s="10">
        <f>I177 + Q177 + U177 + W177</f>
      </c>
      <c r="AE177" s="10">
        <f>IF(AD177&lt;=2,0,IF(AD177&lt;=5,1,2))</f>
      </c>
      <c r="AF177" s="7"/>
    </row>
    <row x14ac:dyDescent="0.25" r="178" customHeight="1" ht="17.25" hidden="1">
      <c r="A178" s="7" t="s">
        <v>49</v>
      </c>
      <c r="B178" s="7" t="s">
        <v>59</v>
      </c>
      <c r="C178" s="7" t="s">
        <v>50</v>
      </c>
      <c r="D178" s="10">
        <v>2</v>
      </c>
      <c r="E178" s="7" t="s">
        <v>34</v>
      </c>
      <c r="F178" s="10">
        <v>158</v>
      </c>
      <c r="G178" s="11">
        <v>97</v>
      </c>
      <c r="H178" s="12">
        <f>G178/((F178/100)*(F178/100))</f>
      </c>
      <c r="I178" s="11">
        <f>IF(H178&lt;25,0,IF(H178&lt;30,1,2))</f>
      </c>
      <c r="J178" s="13">
        <v>1</v>
      </c>
      <c r="K178" s="7" t="s">
        <v>52</v>
      </c>
      <c r="L178" s="7" t="s">
        <v>170</v>
      </c>
      <c r="M178" s="7" t="s">
        <v>41</v>
      </c>
      <c r="N178" s="7" t="s">
        <v>38</v>
      </c>
      <c r="O178" s="7" t="s">
        <v>68</v>
      </c>
      <c r="P178" s="7" t="s">
        <v>40</v>
      </c>
      <c r="Q178" s="10">
        <f>IF(P178="None of the above",0,2)</f>
      </c>
      <c r="R178" s="7" t="s">
        <v>56</v>
      </c>
      <c r="S178" s="7" t="s">
        <v>42</v>
      </c>
      <c r="T178" s="7" t="s">
        <v>99</v>
      </c>
      <c r="U178" s="10">
        <f>IF(T178="Heavy physical",0,IF(T178="Moderate activity",1,2))</f>
      </c>
      <c r="V178" s="5" t="s">
        <v>69</v>
      </c>
      <c r="W178" s="10">
        <f>IF(V178="7–8 hours",0,IF(V178="6–7 hours",1,2))</f>
      </c>
      <c r="X178" s="7" t="s">
        <v>83</v>
      </c>
      <c r="Y178" s="7" t="s">
        <v>46</v>
      </c>
      <c r="Z178" s="7" t="s">
        <v>45</v>
      </c>
      <c r="AA178" s="7" t="s">
        <v>48</v>
      </c>
      <c r="AB178" s="7" t="s">
        <v>48</v>
      </c>
      <c r="AC178" s="7" t="s">
        <v>42</v>
      </c>
      <c r="AD178" s="10">
        <f>I178 + Q178 + U178 + W178</f>
      </c>
      <c r="AE178" s="10">
        <f>IF(AD178&lt;=2,0,IF(AD178&lt;=5,1,2))</f>
      </c>
      <c r="AF178" s="7"/>
    </row>
    <row x14ac:dyDescent="0.25" r="179" customHeight="1" ht="17.25" hidden="1">
      <c r="A179" s="7" t="s">
        <v>31</v>
      </c>
      <c r="B179" s="7" t="s">
        <v>32</v>
      </c>
      <c r="C179" s="7" t="s">
        <v>50</v>
      </c>
      <c r="D179" s="10">
        <v>7</v>
      </c>
      <c r="E179" s="7" t="s">
        <v>34</v>
      </c>
      <c r="F179" s="10">
        <v>184</v>
      </c>
      <c r="G179" s="11">
        <v>103</v>
      </c>
      <c r="H179" s="12">
        <f>G179/((F179/100)*(F179/100))</f>
      </c>
      <c r="I179" s="11">
        <f>IF(H179&lt;25,0,IF(H179&lt;30,1,2))</f>
      </c>
      <c r="J179" s="13">
        <v>2</v>
      </c>
      <c r="K179" s="7" t="s">
        <v>52</v>
      </c>
      <c r="L179" s="7" t="s">
        <v>90</v>
      </c>
      <c r="M179" s="7" t="s">
        <v>54</v>
      </c>
      <c r="N179" s="7" t="s">
        <v>38</v>
      </c>
      <c r="O179" s="7" t="s">
        <v>74</v>
      </c>
      <c r="P179" s="7" t="s">
        <v>81</v>
      </c>
      <c r="Q179" s="10">
        <f>IF(P179="None of the above",0,2)</f>
      </c>
      <c r="R179" s="7" t="s">
        <v>56</v>
      </c>
      <c r="S179" s="15" t="s">
        <v>48</v>
      </c>
      <c r="T179" s="7" t="s">
        <v>96</v>
      </c>
      <c r="U179" s="10">
        <f>IF(T179="Heavy physical",0,IF(T179="Moderate activity",1,2))</f>
      </c>
      <c r="V179" s="5" t="s">
        <v>97</v>
      </c>
      <c r="W179" s="10">
        <f>IF(V179="7–8 hours",0,IF(V179="6–7 hours",1,2))</f>
      </c>
      <c r="X179" s="7" t="s">
        <v>45</v>
      </c>
      <c r="Y179" s="7" t="s">
        <v>75</v>
      </c>
      <c r="Z179" s="7" t="s">
        <v>45</v>
      </c>
      <c r="AA179" s="7" t="s">
        <v>48</v>
      </c>
      <c r="AB179" s="7" t="s">
        <v>48</v>
      </c>
      <c r="AC179" s="7" t="s">
        <v>42</v>
      </c>
      <c r="AD179" s="10">
        <f>I179 + Q179 + U179 + W179</f>
      </c>
      <c r="AE179" s="10">
        <f>IF(AD179&lt;=2,0,IF(AD179&lt;=5,1,2))</f>
      </c>
      <c r="AF179" s="7"/>
    </row>
    <row x14ac:dyDescent="0.25" r="180" customHeight="1" ht="17.25" hidden="1">
      <c r="A180" s="7" t="s">
        <v>76</v>
      </c>
      <c r="B180" s="7" t="s">
        <v>71</v>
      </c>
      <c r="C180" s="7" t="s">
        <v>50</v>
      </c>
      <c r="D180" s="10">
        <v>6</v>
      </c>
      <c r="E180" s="7" t="s">
        <v>34</v>
      </c>
      <c r="F180" s="10">
        <v>177</v>
      </c>
      <c r="G180" s="11">
        <v>59</v>
      </c>
      <c r="H180" s="12">
        <f>G180/((F180/100)*(F180/100))</f>
      </c>
      <c r="I180" s="11">
        <f>IF(H180&lt;25,0,IF(H180&lt;30,1,2))</f>
      </c>
      <c r="J180" s="13">
        <v>3</v>
      </c>
      <c r="K180" s="7" t="s">
        <v>52</v>
      </c>
      <c r="L180" s="7" t="s">
        <v>176</v>
      </c>
      <c r="M180" s="7" t="s">
        <v>37</v>
      </c>
      <c r="N180" s="7" t="s">
        <v>38</v>
      </c>
      <c r="O180" s="7" t="s">
        <v>63</v>
      </c>
      <c r="P180" s="7" t="s">
        <v>55</v>
      </c>
      <c r="Q180" s="10">
        <f>IF(P180="None of the above",0,2)</f>
      </c>
      <c r="R180" s="15" t="s">
        <v>56</v>
      </c>
      <c r="S180" s="15" t="s">
        <v>48</v>
      </c>
      <c r="T180" s="7" t="s">
        <v>99</v>
      </c>
      <c r="U180" s="10">
        <f>IF(T180="Heavy physical",0,IF(T180="Moderate activity",1,2))</f>
      </c>
      <c r="V180" s="5" t="s">
        <v>97</v>
      </c>
      <c r="W180" s="10">
        <f>IF(V180="7–8 hours",0,IF(V180="6–7 hours",1,2))</f>
      </c>
      <c r="X180" s="7" t="s">
        <v>83</v>
      </c>
      <c r="Y180" s="7" t="s">
        <v>75</v>
      </c>
      <c r="Z180" s="7" t="s">
        <v>92</v>
      </c>
      <c r="AA180" s="7" t="s">
        <v>42</v>
      </c>
      <c r="AB180" s="7" t="s">
        <v>48</v>
      </c>
      <c r="AC180" s="7" t="s">
        <v>42</v>
      </c>
      <c r="AD180" s="10">
        <f>I180 + Q180 + U180 + W180</f>
      </c>
      <c r="AE180" s="10">
        <f>IF(AD180&lt;=2,0,IF(AD180&lt;=5,1,2))</f>
      </c>
      <c r="AF180" s="7"/>
    </row>
    <row x14ac:dyDescent="0.25" r="181" customHeight="1" ht="17.25" hidden="1">
      <c r="A181" s="7" t="s">
        <v>49</v>
      </c>
      <c r="B181" s="7" t="s">
        <v>71</v>
      </c>
      <c r="C181" s="7" t="s">
        <v>50</v>
      </c>
      <c r="D181" s="10">
        <v>1</v>
      </c>
      <c r="E181" s="7" t="s">
        <v>34</v>
      </c>
      <c r="F181" s="10">
        <v>172</v>
      </c>
      <c r="G181" s="11">
        <v>56</v>
      </c>
      <c r="H181" s="12">
        <f>G181/((F181/100)*(F181/100))</f>
      </c>
      <c r="I181" s="11">
        <f>IF(H181&lt;25,0,IF(H181&lt;30,1,2))</f>
      </c>
      <c r="J181" s="13">
        <v>3</v>
      </c>
      <c r="K181" s="7" t="s">
        <v>72</v>
      </c>
      <c r="L181" s="7" t="s">
        <v>177</v>
      </c>
      <c r="M181" s="7" t="s">
        <v>41</v>
      </c>
      <c r="N181" s="7" t="s">
        <v>38</v>
      </c>
      <c r="O181" s="7" t="s">
        <v>80</v>
      </c>
      <c r="P181" s="7" t="s">
        <v>81</v>
      </c>
      <c r="Q181" s="10">
        <f>IF(P181="None of the above",0,2)</f>
      </c>
      <c r="R181" s="7" t="s">
        <v>89</v>
      </c>
      <c r="S181" s="7" t="s">
        <v>42</v>
      </c>
      <c r="T181" s="7" t="s">
        <v>96</v>
      </c>
      <c r="U181" s="10">
        <f>IF(T181="Heavy physical",0,IF(T181="Moderate activity",1,2))</f>
      </c>
      <c r="V181" s="5" t="s">
        <v>57</v>
      </c>
      <c r="W181" s="10">
        <f>IF(V181="7–8 hours",0,IF(V181="6–7 hours",1,2))</f>
      </c>
      <c r="X181" s="7" t="s">
        <v>102</v>
      </c>
      <c r="Y181" s="7" t="s">
        <v>46</v>
      </c>
      <c r="Z181" s="7" t="s">
        <v>92</v>
      </c>
      <c r="AA181" s="7" t="s">
        <v>48</v>
      </c>
      <c r="AB181" s="7" t="s">
        <v>48</v>
      </c>
      <c r="AC181" s="7" t="s">
        <v>42</v>
      </c>
      <c r="AD181" s="10">
        <f>I181 + Q181 + U181 + W181</f>
      </c>
      <c r="AE181" s="10">
        <f>IF(AD181&lt;=2,0,IF(AD181&lt;=5,1,2))</f>
      </c>
      <c r="AF181" s="7"/>
    </row>
    <row x14ac:dyDescent="0.25" r="182" customHeight="1" ht="17.25" hidden="1">
      <c r="A182" s="7" t="s">
        <v>31</v>
      </c>
      <c r="B182" s="7" t="s">
        <v>84</v>
      </c>
      <c r="C182" s="7" t="s">
        <v>50</v>
      </c>
      <c r="D182" s="10">
        <v>5</v>
      </c>
      <c r="E182" s="7" t="s">
        <v>51</v>
      </c>
      <c r="F182" s="10">
        <v>151</v>
      </c>
      <c r="G182" s="11">
        <v>57</v>
      </c>
      <c r="H182" s="12">
        <f>G182/((F182/100)*(F182/100))</f>
      </c>
      <c r="I182" s="11">
        <f>IF(H182&lt;25,0,IF(H182&lt;30,1,2))</f>
      </c>
      <c r="J182" s="13">
        <v>1</v>
      </c>
      <c r="K182" s="7" t="s">
        <v>72</v>
      </c>
      <c r="L182" s="7" t="s">
        <v>53</v>
      </c>
      <c r="M182" s="7" t="s">
        <v>37</v>
      </c>
      <c r="N182" s="7" t="s">
        <v>38</v>
      </c>
      <c r="O182" s="7" t="s">
        <v>68</v>
      </c>
      <c r="P182" s="7" t="s">
        <v>40</v>
      </c>
      <c r="Q182" s="10">
        <f>IF(P182="None of the above",0,2)</f>
      </c>
      <c r="R182" s="15" t="s">
        <v>56</v>
      </c>
      <c r="S182" s="15" t="s">
        <v>48</v>
      </c>
      <c r="T182" s="7" t="s">
        <v>96</v>
      </c>
      <c r="U182" s="10">
        <f>IF(T182="Heavy physical",0,IF(T182="Moderate activity",1,2))</f>
      </c>
      <c r="V182" s="5" t="s">
        <v>57</v>
      </c>
      <c r="W182" s="10">
        <f>IF(V182="7–8 hours",0,IF(V182="6–7 hours",1,2))</f>
      </c>
      <c r="X182" s="7" t="s">
        <v>45</v>
      </c>
      <c r="Y182" s="7" t="s">
        <v>75</v>
      </c>
      <c r="Z182" s="7" t="s">
        <v>45</v>
      </c>
      <c r="AA182" s="7" t="s">
        <v>42</v>
      </c>
      <c r="AB182" s="7" t="s">
        <v>42</v>
      </c>
      <c r="AC182" s="7" t="s">
        <v>42</v>
      </c>
      <c r="AD182" s="10">
        <f>I182 + Q182 + U182 + W182</f>
      </c>
      <c r="AE182" s="10">
        <f>IF(AD182&lt;=2,0,IF(AD182&lt;=5,1,2))</f>
      </c>
      <c r="AF182" s="7"/>
    </row>
    <row x14ac:dyDescent="0.25" r="183" customHeight="1" ht="17.25" hidden="1">
      <c r="A183" s="7" t="s">
        <v>76</v>
      </c>
      <c r="B183" s="7" t="s">
        <v>66</v>
      </c>
      <c r="C183" s="7" t="s">
        <v>50</v>
      </c>
      <c r="D183" s="10">
        <v>5</v>
      </c>
      <c r="E183" s="7" t="s">
        <v>51</v>
      </c>
      <c r="F183" s="10">
        <v>184</v>
      </c>
      <c r="G183" s="11">
        <v>70</v>
      </c>
      <c r="H183" s="12">
        <f>G183/((F183/100)*(F183/100))</f>
      </c>
      <c r="I183" s="11">
        <f>IF(H183&lt;25,0,IF(H183&lt;30,1,2))</f>
      </c>
      <c r="J183" s="13">
        <v>3</v>
      </c>
      <c r="K183" s="7" t="s">
        <v>35</v>
      </c>
      <c r="L183" s="7" t="s">
        <v>178</v>
      </c>
      <c r="M183" s="7" t="s">
        <v>37</v>
      </c>
      <c r="N183" s="7" t="s">
        <v>38</v>
      </c>
      <c r="O183" s="7" t="s">
        <v>74</v>
      </c>
      <c r="P183" s="15" t="s">
        <v>132</v>
      </c>
      <c r="Q183" s="10">
        <f>IF(P183="None of the above",0,2)</f>
      </c>
      <c r="R183" s="7" t="s">
        <v>89</v>
      </c>
      <c r="S183" s="7" t="s">
        <v>42</v>
      </c>
      <c r="T183" s="7" t="s">
        <v>99</v>
      </c>
      <c r="U183" s="10">
        <f>IF(T183="Heavy physical",0,IF(T183="Moderate activity",1,2))</f>
      </c>
      <c r="V183" s="5" t="s">
        <v>57</v>
      </c>
      <c r="W183" s="10">
        <f>IF(V183="7–8 hours",0,IF(V183="6–7 hours",1,2))</f>
      </c>
      <c r="X183" s="7" t="s">
        <v>102</v>
      </c>
      <c r="Y183" s="7" t="s">
        <v>75</v>
      </c>
      <c r="Z183" s="7" t="s">
        <v>92</v>
      </c>
      <c r="AA183" s="7" t="s">
        <v>42</v>
      </c>
      <c r="AB183" s="7" t="s">
        <v>42</v>
      </c>
      <c r="AC183" s="7" t="s">
        <v>42</v>
      </c>
      <c r="AD183" s="10">
        <f>I183 + Q183 + U183 + W183</f>
      </c>
      <c r="AE183" s="10">
        <f>IF(AD183&lt;=2,0,IF(AD183&lt;=5,1,2))</f>
      </c>
      <c r="AF183" s="7"/>
    </row>
    <row x14ac:dyDescent="0.25" r="184" customHeight="1" ht="17.25" hidden="1">
      <c r="A184" s="7" t="s">
        <v>49</v>
      </c>
      <c r="B184" s="7" t="s">
        <v>77</v>
      </c>
      <c r="C184" s="7" t="s">
        <v>50</v>
      </c>
      <c r="D184" s="10">
        <v>5</v>
      </c>
      <c r="E184" s="7" t="s">
        <v>51</v>
      </c>
      <c r="F184" s="10">
        <v>148</v>
      </c>
      <c r="G184" s="11">
        <v>60</v>
      </c>
      <c r="H184" s="12">
        <f>G184/((F184/100)*(F184/100))</f>
      </c>
      <c r="I184" s="11">
        <f>IF(H184&lt;25,0,IF(H184&lt;30,1,2))</f>
      </c>
      <c r="J184" s="13">
        <v>3</v>
      </c>
      <c r="K184" s="7" t="s">
        <v>35</v>
      </c>
      <c r="L184" s="7" t="s">
        <v>129</v>
      </c>
      <c r="M184" s="7" t="s">
        <v>37</v>
      </c>
      <c r="N184" s="7" t="s">
        <v>38</v>
      </c>
      <c r="O184" s="7" t="s">
        <v>80</v>
      </c>
      <c r="P184" s="7" t="s">
        <v>81</v>
      </c>
      <c r="Q184" s="10">
        <f>IF(P184="None of the above",0,2)</f>
      </c>
      <c r="R184" s="7" t="s">
        <v>89</v>
      </c>
      <c r="S184" s="15" t="s">
        <v>48</v>
      </c>
      <c r="T184" s="7" t="s">
        <v>96</v>
      </c>
      <c r="U184" s="10">
        <f>IF(T184="Heavy physical",0,IF(T184="Moderate activity",1,2))</f>
      </c>
      <c r="V184" s="5" t="s">
        <v>57</v>
      </c>
      <c r="W184" s="10">
        <f>IF(V184="7–8 hours",0,IF(V184="6–7 hours",1,2))</f>
      </c>
      <c r="X184" s="7" t="s">
        <v>83</v>
      </c>
      <c r="Y184" s="7" t="s">
        <v>75</v>
      </c>
      <c r="Z184" s="7" t="s">
        <v>92</v>
      </c>
      <c r="AA184" s="7" t="s">
        <v>42</v>
      </c>
      <c r="AB184" s="7" t="s">
        <v>42</v>
      </c>
      <c r="AC184" s="7" t="s">
        <v>42</v>
      </c>
      <c r="AD184" s="10">
        <f>I184 + Q184 + U184 + W184</f>
      </c>
      <c r="AE184" s="10">
        <f>IF(AD184&lt;=2,0,IF(AD184&lt;=5,1,2))</f>
      </c>
      <c r="AF184" s="7"/>
    </row>
    <row x14ac:dyDescent="0.25" r="185" customHeight="1" ht="17.25" hidden="1">
      <c r="A185" s="7" t="s">
        <v>76</v>
      </c>
      <c r="B185" s="7" t="s">
        <v>66</v>
      </c>
      <c r="C185" s="7" t="s">
        <v>50</v>
      </c>
      <c r="D185" s="10">
        <v>1</v>
      </c>
      <c r="E185" s="7" t="s">
        <v>34</v>
      </c>
      <c r="F185" s="10">
        <v>192</v>
      </c>
      <c r="G185" s="11">
        <v>75</v>
      </c>
      <c r="H185" s="12">
        <f>G185/((F185/100)*(F185/100))</f>
      </c>
      <c r="I185" s="11">
        <f>IF(H185&lt;25,0,IF(H185&lt;30,1,2))</f>
      </c>
      <c r="J185" s="13">
        <v>2</v>
      </c>
      <c r="K185" s="7" t="s">
        <v>72</v>
      </c>
      <c r="L185" s="7" t="s">
        <v>104</v>
      </c>
      <c r="M185" s="7" t="s">
        <v>37</v>
      </c>
      <c r="N185" s="7" t="s">
        <v>38</v>
      </c>
      <c r="O185" s="7" t="s">
        <v>74</v>
      </c>
      <c r="P185" s="7" t="s">
        <v>40</v>
      </c>
      <c r="Q185" s="10">
        <f>IF(P185="None of the above",0,2)</f>
      </c>
      <c r="R185" s="15" t="s">
        <v>56</v>
      </c>
      <c r="S185" s="7" t="s">
        <v>42</v>
      </c>
      <c r="T185" s="7" t="s">
        <v>99</v>
      </c>
      <c r="U185" s="10">
        <f>IF(T185="Heavy physical",0,IF(T185="Moderate activity",1,2))</f>
      </c>
      <c r="V185" s="5" t="s">
        <v>97</v>
      </c>
      <c r="W185" s="10">
        <f>IF(V185="7–8 hours",0,IF(V185="6–7 hours",1,2))</f>
      </c>
      <c r="X185" s="7" t="s">
        <v>70</v>
      </c>
      <c r="Y185" s="7" t="s">
        <v>58</v>
      </c>
      <c r="Z185" s="7" t="s">
        <v>92</v>
      </c>
      <c r="AA185" s="7" t="s">
        <v>42</v>
      </c>
      <c r="AB185" s="7" t="s">
        <v>48</v>
      </c>
      <c r="AC185" s="7" t="s">
        <v>48</v>
      </c>
      <c r="AD185" s="10">
        <f>I185 + Q185 + U185 + W185</f>
      </c>
      <c r="AE185" s="10">
        <f>IF(AD185&lt;=2,0,IF(AD185&lt;=5,1,2))</f>
      </c>
      <c r="AF185" s="7"/>
    </row>
    <row x14ac:dyDescent="0.25" r="186" customHeight="1" ht="17.25" hidden="1">
      <c r="A186" s="7" t="s">
        <v>31</v>
      </c>
      <c r="B186" s="7" t="s">
        <v>59</v>
      </c>
      <c r="C186" s="7" t="s">
        <v>50</v>
      </c>
      <c r="D186" s="10">
        <v>5</v>
      </c>
      <c r="E186" s="7" t="s">
        <v>51</v>
      </c>
      <c r="F186" s="10">
        <v>187</v>
      </c>
      <c r="G186" s="11">
        <v>74</v>
      </c>
      <c r="H186" s="12">
        <f>G186/((F186/100)*(F186/100))</f>
      </c>
      <c r="I186" s="11">
        <f>IF(H186&lt;25,0,IF(H186&lt;30,1,2))</f>
      </c>
      <c r="J186" s="13">
        <v>3</v>
      </c>
      <c r="K186" s="7" t="s">
        <v>35</v>
      </c>
      <c r="L186" s="7" t="s">
        <v>142</v>
      </c>
      <c r="M186" s="7" t="s">
        <v>37</v>
      </c>
      <c r="N186" s="7" t="s">
        <v>38</v>
      </c>
      <c r="O186" s="7" t="s">
        <v>39</v>
      </c>
      <c r="P186" s="7" t="s">
        <v>55</v>
      </c>
      <c r="Q186" s="10">
        <f>IF(P186="None of the above",0,2)</f>
      </c>
      <c r="R186" s="15" t="s">
        <v>56</v>
      </c>
      <c r="S186" s="15" t="s">
        <v>48</v>
      </c>
      <c r="T186" s="7" t="s">
        <v>96</v>
      </c>
      <c r="U186" s="10">
        <f>IF(T186="Heavy physical",0,IF(T186="Moderate activity",1,2))</f>
      </c>
      <c r="V186" s="5" t="s">
        <v>57</v>
      </c>
      <c r="W186" s="10">
        <f>IF(V186="7–8 hours",0,IF(V186="6–7 hours",1,2))</f>
      </c>
      <c r="X186" s="7" t="s">
        <v>83</v>
      </c>
      <c r="Y186" s="15" t="s">
        <v>64</v>
      </c>
      <c r="Z186" s="7" t="s">
        <v>92</v>
      </c>
      <c r="AA186" s="7" t="s">
        <v>42</v>
      </c>
      <c r="AB186" s="7" t="s">
        <v>42</v>
      </c>
      <c r="AC186" s="7" t="s">
        <v>42</v>
      </c>
      <c r="AD186" s="10">
        <f>I186 + Q186 + U186 + W186</f>
      </c>
      <c r="AE186" s="10">
        <f>IF(AD186&lt;=2,0,IF(AD186&lt;=5,1,2))</f>
      </c>
      <c r="AF186" s="7"/>
    </row>
    <row x14ac:dyDescent="0.25" r="187" customHeight="1" ht="17.25" hidden="1">
      <c r="A187" s="7" t="s">
        <v>31</v>
      </c>
      <c r="B187" s="7" t="s">
        <v>59</v>
      </c>
      <c r="C187" s="7" t="s">
        <v>50</v>
      </c>
      <c r="D187" s="10">
        <v>7</v>
      </c>
      <c r="E187" s="7" t="s">
        <v>34</v>
      </c>
      <c r="F187" s="10">
        <v>182</v>
      </c>
      <c r="G187" s="11">
        <v>67</v>
      </c>
      <c r="H187" s="12">
        <f>G187/((F187/100)*(F187/100))</f>
      </c>
      <c r="I187" s="11">
        <f>IF(H187&lt;25,0,IF(H187&lt;30,1,2))</f>
      </c>
      <c r="J187" s="13">
        <v>3</v>
      </c>
      <c r="K187" s="7" t="s">
        <v>35</v>
      </c>
      <c r="L187" s="7" t="s">
        <v>147</v>
      </c>
      <c r="M187" s="7" t="s">
        <v>37</v>
      </c>
      <c r="N187" s="7" t="s">
        <v>38</v>
      </c>
      <c r="O187" s="7" t="s">
        <v>63</v>
      </c>
      <c r="P187" s="7" t="s">
        <v>81</v>
      </c>
      <c r="Q187" s="10">
        <f>IF(P187="None of the above",0,2)</f>
      </c>
      <c r="R187" s="7" t="s">
        <v>89</v>
      </c>
      <c r="S187" s="7" t="s">
        <v>42</v>
      </c>
      <c r="T187" s="7" t="s">
        <v>96</v>
      </c>
      <c r="U187" s="10">
        <f>IF(T187="Heavy physical",0,IF(T187="Moderate activity",1,2))</f>
      </c>
      <c r="V187" s="5" t="s">
        <v>57</v>
      </c>
      <c r="W187" s="10">
        <f>IF(V187="7–8 hours",0,IF(V187="6–7 hours",1,2))</f>
      </c>
      <c r="X187" s="7" t="s">
        <v>102</v>
      </c>
      <c r="Y187" s="15" t="s">
        <v>64</v>
      </c>
      <c r="Z187" s="7" t="s">
        <v>47</v>
      </c>
      <c r="AA187" s="7" t="s">
        <v>48</v>
      </c>
      <c r="AB187" s="7" t="s">
        <v>42</v>
      </c>
      <c r="AC187" s="7" t="s">
        <v>48</v>
      </c>
      <c r="AD187" s="10">
        <f>I187 + Q187 + U187 + W187</f>
      </c>
      <c r="AE187" s="10">
        <f>IF(AD187&lt;=2,0,IF(AD187&lt;=5,1,2))</f>
      </c>
      <c r="AF187" s="7"/>
    </row>
    <row x14ac:dyDescent="0.25" r="188" customHeight="1" ht="17.25" hidden="1">
      <c r="A188" s="7" t="s">
        <v>76</v>
      </c>
      <c r="B188" s="7" t="s">
        <v>84</v>
      </c>
      <c r="C188" s="7" t="s">
        <v>50</v>
      </c>
      <c r="D188" s="10">
        <v>5</v>
      </c>
      <c r="E188" s="7" t="s">
        <v>51</v>
      </c>
      <c r="F188" s="10">
        <v>147</v>
      </c>
      <c r="G188" s="11">
        <v>76</v>
      </c>
      <c r="H188" s="12">
        <f>G188/((F188/100)*(F188/100))</f>
      </c>
      <c r="I188" s="11">
        <f>IF(H188&lt;25,0,IF(H188&lt;30,1,2))</f>
      </c>
      <c r="J188" s="13">
        <v>3</v>
      </c>
      <c r="K188" s="7" t="s">
        <v>35</v>
      </c>
      <c r="L188" s="7" t="s">
        <v>137</v>
      </c>
      <c r="M188" s="7" t="s">
        <v>37</v>
      </c>
      <c r="N188" s="7" t="s">
        <v>38</v>
      </c>
      <c r="O188" s="7" t="s">
        <v>63</v>
      </c>
      <c r="P188" s="7" t="s">
        <v>40</v>
      </c>
      <c r="Q188" s="10">
        <f>IF(P188="None of the above",0,2)</f>
      </c>
      <c r="R188" s="15" t="s">
        <v>56</v>
      </c>
      <c r="S188" s="15" t="s">
        <v>48</v>
      </c>
      <c r="T188" s="7" t="s">
        <v>96</v>
      </c>
      <c r="U188" s="10">
        <f>IF(T188="Heavy physical",0,IF(T188="Moderate activity",1,2))</f>
      </c>
      <c r="V188" s="5" t="s">
        <v>44</v>
      </c>
      <c r="W188" s="10">
        <f>IF(V188="7–8 hours",0,IF(V188="6–7 hours",1,2))</f>
      </c>
      <c r="X188" s="7" t="s">
        <v>83</v>
      </c>
      <c r="Y188" s="7" t="s">
        <v>58</v>
      </c>
      <c r="Z188" s="7" t="s">
        <v>47</v>
      </c>
      <c r="AA188" s="7" t="s">
        <v>42</v>
      </c>
      <c r="AB188" s="7" t="s">
        <v>42</v>
      </c>
      <c r="AC188" s="7" t="s">
        <v>42</v>
      </c>
      <c r="AD188" s="10">
        <f>I188 + Q188 + U188 + W188</f>
      </c>
      <c r="AE188" s="10">
        <f>IF(AD188&lt;=2,0,IF(AD188&lt;=5,1,2))</f>
      </c>
      <c r="AF188" s="7"/>
    </row>
    <row x14ac:dyDescent="0.25" r="189" customHeight="1" ht="17.25" hidden="1">
      <c r="A189" s="7" t="s">
        <v>76</v>
      </c>
      <c r="B189" s="7" t="s">
        <v>71</v>
      </c>
      <c r="C189" s="7" t="s">
        <v>50</v>
      </c>
      <c r="D189" s="10">
        <v>4</v>
      </c>
      <c r="E189" s="7" t="s">
        <v>51</v>
      </c>
      <c r="F189" s="10">
        <v>166</v>
      </c>
      <c r="G189" s="11">
        <v>97</v>
      </c>
      <c r="H189" s="12">
        <f>G189/((F189/100)*(F189/100))</f>
      </c>
      <c r="I189" s="11">
        <f>IF(H189&lt;25,0,IF(H189&lt;30,1,2))</f>
      </c>
      <c r="J189" s="13">
        <v>1</v>
      </c>
      <c r="K189" s="7" t="s">
        <v>105</v>
      </c>
      <c r="L189" s="7" t="s">
        <v>87</v>
      </c>
      <c r="M189" s="7" t="s">
        <v>37</v>
      </c>
      <c r="N189" s="7" t="s">
        <v>38</v>
      </c>
      <c r="O189" s="7" t="s">
        <v>74</v>
      </c>
      <c r="P189" s="7" t="s">
        <v>55</v>
      </c>
      <c r="Q189" s="10">
        <f>IF(P189="None of the above",0,2)</f>
      </c>
      <c r="R189" s="7" t="s">
        <v>56</v>
      </c>
      <c r="S189" s="15" t="s">
        <v>48</v>
      </c>
      <c r="T189" s="7" t="s">
        <v>99</v>
      </c>
      <c r="U189" s="10">
        <f>IF(T189="Heavy physical",0,IF(T189="Moderate activity",1,2))</f>
      </c>
      <c r="V189" s="5" t="s">
        <v>44</v>
      </c>
      <c r="W189" s="10">
        <f>IF(V189="7–8 hours",0,IF(V189="6–7 hours",1,2))</f>
      </c>
      <c r="X189" s="7" t="s">
        <v>70</v>
      </c>
      <c r="Y189" s="15" t="s">
        <v>64</v>
      </c>
      <c r="Z189" s="7" t="s">
        <v>45</v>
      </c>
      <c r="AA189" s="7" t="s">
        <v>42</v>
      </c>
      <c r="AB189" s="7" t="s">
        <v>42</v>
      </c>
      <c r="AC189" s="7" t="s">
        <v>42</v>
      </c>
      <c r="AD189" s="10">
        <f>I189 + Q189 + U189 + W189</f>
      </c>
      <c r="AE189" s="10">
        <f>IF(AD189&lt;=2,0,IF(AD189&lt;=5,1,2))</f>
      </c>
      <c r="AF189" s="7"/>
    </row>
    <row x14ac:dyDescent="0.25" r="190" customHeight="1" ht="17.25" hidden="1">
      <c r="A190" s="7" t="s">
        <v>31</v>
      </c>
      <c r="B190" s="7" t="s">
        <v>93</v>
      </c>
      <c r="C190" s="7" t="s">
        <v>50</v>
      </c>
      <c r="D190" s="10">
        <v>7</v>
      </c>
      <c r="E190" s="7" t="s">
        <v>51</v>
      </c>
      <c r="F190" s="10">
        <v>194</v>
      </c>
      <c r="G190" s="11">
        <v>112</v>
      </c>
      <c r="H190" s="12">
        <f>G190/((F190/100)*(F190/100))</f>
      </c>
      <c r="I190" s="11">
        <f>IF(H190&lt;25,0,IF(H190&lt;30,1,2))</f>
      </c>
      <c r="J190" s="13">
        <v>1</v>
      </c>
      <c r="K190" s="7" t="s">
        <v>86</v>
      </c>
      <c r="L190" s="7" t="s">
        <v>176</v>
      </c>
      <c r="M190" s="7" t="s">
        <v>37</v>
      </c>
      <c r="N190" s="7" t="s">
        <v>38</v>
      </c>
      <c r="O190" s="7" t="s">
        <v>74</v>
      </c>
      <c r="P190" s="7" t="s">
        <v>81</v>
      </c>
      <c r="Q190" s="10">
        <f>IF(P190="None of the above",0,2)</f>
      </c>
      <c r="R190" s="7" t="s">
        <v>89</v>
      </c>
      <c r="S190" s="15" t="s">
        <v>48</v>
      </c>
      <c r="T190" s="7" t="s">
        <v>96</v>
      </c>
      <c r="U190" s="10">
        <f>IF(T190="Heavy physical",0,IF(T190="Moderate activity",1,2))</f>
      </c>
      <c r="V190" s="5" t="s">
        <v>69</v>
      </c>
      <c r="W190" s="10">
        <f>IF(V190="7–8 hours",0,IF(V190="6–7 hours",1,2))</f>
      </c>
      <c r="X190" s="7" t="s">
        <v>102</v>
      </c>
      <c r="Y190" s="15" t="s">
        <v>64</v>
      </c>
      <c r="Z190" s="7" t="s">
        <v>92</v>
      </c>
      <c r="AA190" s="7" t="s">
        <v>42</v>
      </c>
      <c r="AB190" s="7" t="s">
        <v>42</v>
      </c>
      <c r="AC190" s="7" t="s">
        <v>42</v>
      </c>
      <c r="AD190" s="10">
        <f>I190 + Q190 + U190 + W190</f>
      </c>
      <c r="AE190" s="10">
        <f>IF(AD190&lt;=2,0,IF(AD190&lt;=5,1,2))</f>
      </c>
      <c r="AF190" s="7"/>
    </row>
    <row x14ac:dyDescent="0.25" r="191" customHeight="1" ht="17.25" hidden="1">
      <c r="A191" s="7" t="s">
        <v>31</v>
      </c>
      <c r="B191" s="7" t="s">
        <v>93</v>
      </c>
      <c r="C191" s="7" t="s">
        <v>50</v>
      </c>
      <c r="D191" s="10">
        <v>4</v>
      </c>
      <c r="E191" s="7" t="s">
        <v>34</v>
      </c>
      <c r="F191" s="10">
        <v>162</v>
      </c>
      <c r="G191" s="11">
        <v>95</v>
      </c>
      <c r="H191" s="12">
        <f>G191/((F191/100)*(F191/100))</f>
      </c>
      <c r="I191" s="11">
        <f>IF(H191&lt;25,0,IF(H191&lt;30,1,2))</f>
      </c>
      <c r="J191" s="13">
        <v>3</v>
      </c>
      <c r="K191" s="7" t="s">
        <v>35</v>
      </c>
      <c r="L191" s="7" t="s">
        <v>100</v>
      </c>
      <c r="M191" s="7" t="s">
        <v>37</v>
      </c>
      <c r="N191" s="7" t="s">
        <v>38</v>
      </c>
      <c r="O191" s="7" t="s">
        <v>80</v>
      </c>
      <c r="P191" s="7" t="s">
        <v>40</v>
      </c>
      <c r="Q191" s="10">
        <f>IF(P191="None of the above",0,2)</f>
      </c>
      <c r="R191" s="15" t="s">
        <v>56</v>
      </c>
      <c r="S191" s="7" t="s">
        <v>42</v>
      </c>
      <c r="T191" s="7" t="s">
        <v>96</v>
      </c>
      <c r="U191" s="10">
        <f>IF(T191="Heavy physical",0,IF(T191="Moderate activity",1,2))</f>
      </c>
      <c r="V191" s="5" t="s">
        <v>57</v>
      </c>
      <c r="W191" s="10">
        <f>IF(V191="7–8 hours",0,IF(V191="6–7 hours",1,2))</f>
      </c>
      <c r="X191" s="7" t="s">
        <v>70</v>
      </c>
      <c r="Y191" s="7" t="s">
        <v>58</v>
      </c>
      <c r="Z191" s="7" t="s">
        <v>92</v>
      </c>
      <c r="AA191" s="7" t="s">
        <v>42</v>
      </c>
      <c r="AB191" s="7" t="s">
        <v>48</v>
      </c>
      <c r="AC191" s="7" t="s">
        <v>42</v>
      </c>
      <c r="AD191" s="10">
        <f>I191 + Q191 + U191 + W191</f>
      </c>
      <c r="AE191" s="10">
        <f>IF(AD191&lt;=2,0,IF(AD191&lt;=5,1,2))</f>
      </c>
      <c r="AF191" s="7"/>
    </row>
    <row x14ac:dyDescent="0.25" r="192" customHeight="1" ht="17.25" hidden="1">
      <c r="A192" s="7" t="s">
        <v>31</v>
      </c>
      <c r="B192" s="7" t="s">
        <v>32</v>
      </c>
      <c r="C192" s="7" t="s">
        <v>50</v>
      </c>
      <c r="D192" s="10">
        <v>8</v>
      </c>
      <c r="E192" s="7" t="s">
        <v>51</v>
      </c>
      <c r="F192" s="10">
        <v>140</v>
      </c>
      <c r="G192" s="11">
        <v>117</v>
      </c>
      <c r="H192" s="12">
        <f>G192/((F192/100)*(F192/100))</f>
      </c>
      <c r="I192" s="11">
        <f>IF(H192&lt;25,0,IF(H192&lt;30,1,2))</f>
      </c>
      <c r="J192" s="13">
        <v>3</v>
      </c>
      <c r="K192" s="7" t="s">
        <v>72</v>
      </c>
      <c r="L192" s="7" t="s">
        <v>129</v>
      </c>
      <c r="M192" s="7" t="s">
        <v>41</v>
      </c>
      <c r="N192" s="7" t="s">
        <v>38</v>
      </c>
      <c r="O192" s="7" t="s">
        <v>80</v>
      </c>
      <c r="P192" s="7" t="s">
        <v>81</v>
      </c>
      <c r="Q192" s="10">
        <f>IF(P192="None of the above",0,2)</f>
      </c>
      <c r="R192" s="7" t="s">
        <v>89</v>
      </c>
      <c r="S192" s="15" t="s">
        <v>48</v>
      </c>
      <c r="T192" s="7" t="s">
        <v>96</v>
      </c>
      <c r="U192" s="10">
        <f>IF(T192="Heavy physical",0,IF(T192="Moderate activity",1,2))</f>
      </c>
      <c r="V192" s="5" t="s">
        <v>97</v>
      </c>
      <c r="W192" s="10">
        <f>IF(V192="7–8 hours",0,IF(V192="6–7 hours",1,2))</f>
      </c>
      <c r="X192" s="7" t="s">
        <v>83</v>
      </c>
      <c r="Y192" s="15" t="s">
        <v>64</v>
      </c>
      <c r="Z192" s="7" t="s">
        <v>65</v>
      </c>
      <c r="AA192" s="7" t="s">
        <v>42</v>
      </c>
      <c r="AB192" s="7" t="s">
        <v>42</v>
      </c>
      <c r="AC192" s="7" t="s">
        <v>42</v>
      </c>
      <c r="AD192" s="10">
        <f>I192 + Q192 + U192 + W192</f>
      </c>
      <c r="AE192" s="10">
        <f>IF(AD192&lt;=2,0,IF(AD192&lt;=5,1,2))</f>
      </c>
      <c r="AF192" s="7"/>
    </row>
    <row x14ac:dyDescent="0.25" r="193" customHeight="1" ht="17.25" hidden="1">
      <c r="A193" s="7" t="s">
        <v>49</v>
      </c>
      <c r="B193" s="7" t="s">
        <v>59</v>
      </c>
      <c r="C193" s="7" t="s">
        <v>122</v>
      </c>
      <c r="D193" s="10">
        <v>2</v>
      </c>
      <c r="E193" s="7" t="s">
        <v>34</v>
      </c>
      <c r="F193" s="10">
        <v>197</v>
      </c>
      <c r="G193" s="11">
        <v>68</v>
      </c>
      <c r="H193" s="12">
        <f>G193/((F193/100)*(F193/100))</f>
      </c>
      <c r="I193" s="11">
        <f>IF(H193&lt;25,0,IF(H193&lt;30,1,2))</f>
      </c>
      <c r="J193" s="13">
        <v>1</v>
      </c>
      <c r="K193" s="7" t="s">
        <v>52</v>
      </c>
      <c r="L193" s="7" t="s">
        <v>129</v>
      </c>
      <c r="M193" s="7" t="s">
        <v>54</v>
      </c>
      <c r="N193" s="7" t="s">
        <v>38</v>
      </c>
      <c r="O193" s="7" t="s">
        <v>63</v>
      </c>
      <c r="P193" s="7" t="s">
        <v>81</v>
      </c>
      <c r="Q193" s="10">
        <f>IF(P193="None of the above",0,2)</f>
      </c>
      <c r="R193" s="7" t="s">
        <v>56</v>
      </c>
      <c r="S193" s="7" t="s">
        <v>42</v>
      </c>
      <c r="T193" s="7" t="s">
        <v>96</v>
      </c>
      <c r="U193" s="10">
        <f>IF(T193="Heavy physical",0,IF(T193="Moderate activity",1,2))</f>
      </c>
      <c r="V193" s="5" t="s">
        <v>97</v>
      </c>
      <c r="W193" s="10">
        <f>IF(V193="7–8 hours",0,IF(V193="6–7 hours",1,2))</f>
      </c>
      <c r="X193" s="7" t="s">
        <v>70</v>
      </c>
      <c r="Y193" s="7" t="s">
        <v>75</v>
      </c>
      <c r="Z193" s="7" t="s">
        <v>47</v>
      </c>
      <c r="AA193" s="7" t="s">
        <v>42</v>
      </c>
      <c r="AB193" s="7" t="s">
        <v>48</v>
      </c>
      <c r="AC193" s="7" t="s">
        <v>48</v>
      </c>
      <c r="AD193" s="10">
        <f>I193 + Q193 + U193 + W193</f>
      </c>
      <c r="AE193" s="10">
        <f>IF(AD193&lt;=2,0,IF(AD193&lt;=5,1,2))</f>
      </c>
      <c r="AF193" s="7"/>
    </row>
    <row x14ac:dyDescent="0.25" r="194" customHeight="1" ht="17.25" hidden="1">
      <c r="A194" s="7" t="s">
        <v>49</v>
      </c>
      <c r="B194" s="7" t="s">
        <v>66</v>
      </c>
      <c r="C194" s="7" t="s">
        <v>33</v>
      </c>
      <c r="D194" s="10">
        <v>2</v>
      </c>
      <c r="E194" s="7" t="s">
        <v>34</v>
      </c>
      <c r="F194" s="10">
        <v>147</v>
      </c>
      <c r="G194" s="11">
        <v>103</v>
      </c>
      <c r="H194" s="12">
        <f>G194/((F194/100)*(F194/100))</f>
      </c>
      <c r="I194" s="11">
        <f>IF(H194&lt;25,0,IF(H194&lt;30,1,2))</f>
      </c>
      <c r="J194" s="13">
        <v>1</v>
      </c>
      <c r="K194" s="7" t="s">
        <v>86</v>
      </c>
      <c r="L194" s="7" t="s">
        <v>103</v>
      </c>
      <c r="M194" s="7" t="s">
        <v>41</v>
      </c>
      <c r="N194" s="7" t="s">
        <v>179</v>
      </c>
      <c r="O194" s="7" t="s">
        <v>63</v>
      </c>
      <c r="P194" s="15" t="s">
        <v>132</v>
      </c>
      <c r="Q194" s="10">
        <f>IF(P194="None of the above",0,2)</f>
      </c>
      <c r="R194" s="7" t="s">
        <v>89</v>
      </c>
      <c r="S194" s="15" t="s">
        <v>48</v>
      </c>
      <c r="T194" s="7" t="s">
        <v>96</v>
      </c>
      <c r="U194" s="10">
        <f>IF(T194="Heavy physical",0,IF(T194="Moderate activity",1,2))</f>
      </c>
      <c r="V194" s="5" t="s">
        <v>97</v>
      </c>
      <c r="W194" s="10">
        <f>IF(V194="7–8 hours",0,IF(V194="6–7 hours",1,2))</f>
      </c>
      <c r="X194" s="7" t="s">
        <v>70</v>
      </c>
      <c r="Y194" s="7" t="s">
        <v>75</v>
      </c>
      <c r="Z194" s="7" t="s">
        <v>45</v>
      </c>
      <c r="AA194" s="7" t="s">
        <v>48</v>
      </c>
      <c r="AB194" s="7" t="s">
        <v>48</v>
      </c>
      <c r="AC194" s="7" t="s">
        <v>48</v>
      </c>
      <c r="AD194" s="10">
        <f>I194 + Q194 + U194 + W194</f>
      </c>
      <c r="AE194" s="10">
        <f>IF(AD194&lt;=2,0,IF(AD194&lt;=5,1,2))</f>
      </c>
      <c r="AF194" s="7"/>
    </row>
    <row x14ac:dyDescent="0.25" r="195" customHeight="1" ht="17.25" hidden="1">
      <c r="A195" s="7" t="s">
        <v>49</v>
      </c>
      <c r="B195" s="7" t="s">
        <v>77</v>
      </c>
      <c r="C195" s="7" t="s">
        <v>122</v>
      </c>
      <c r="D195" s="10">
        <v>2</v>
      </c>
      <c r="E195" s="7" t="s">
        <v>51</v>
      </c>
      <c r="F195" s="10">
        <v>187</v>
      </c>
      <c r="G195" s="11">
        <v>48</v>
      </c>
      <c r="H195" s="12">
        <f>G195/((F195/100)*(F195/100))</f>
      </c>
      <c r="I195" s="11">
        <f>IF(H195&lt;25,0,IF(H195&lt;30,1,2))</f>
      </c>
      <c r="J195" s="13">
        <v>3</v>
      </c>
      <c r="K195" s="7" t="s">
        <v>86</v>
      </c>
      <c r="L195" s="7" t="s">
        <v>90</v>
      </c>
      <c r="M195" s="7" t="s">
        <v>37</v>
      </c>
      <c r="N195" s="7" t="s">
        <v>179</v>
      </c>
      <c r="O195" s="7" t="s">
        <v>68</v>
      </c>
      <c r="P195" s="7" t="s">
        <v>55</v>
      </c>
      <c r="Q195" s="10">
        <f>IF(P195="None of the above",0,2)</f>
      </c>
      <c r="R195" s="15" t="s">
        <v>56</v>
      </c>
      <c r="S195" s="7" t="s">
        <v>42</v>
      </c>
      <c r="T195" s="7" t="s">
        <v>96</v>
      </c>
      <c r="U195" s="10">
        <f>IF(T195="Heavy physical",0,IF(T195="Moderate activity",1,2))</f>
      </c>
      <c r="V195" s="5" t="s">
        <v>97</v>
      </c>
      <c r="W195" s="10">
        <f>IF(V195="7–8 hours",0,IF(V195="6–7 hours",1,2))</f>
      </c>
      <c r="X195" s="7" t="s">
        <v>45</v>
      </c>
      <c r="Y195" s="7" t="s">
        <v>58</v>
      </c>
      <c r="Z195" s="7" t="s">
        <v>65</v>
      </c>
      <c r="AA195" s="7" t="s">
        <v>42</v>
      </c>
      <c r="AB195" s="7" t="s">
        <v>42</v>
      </c>
      <c r="AC195" s="7" t="s">
        <v>42</v>
      </c>
      <c r="AD195" s="10">
        <f>I195 + Q195 + U195 + W195</f>
      </c>
      <c r="AE195" s="10">
        <f>IF(AD195&lt;=2,0,IF(AD195&lt;=5,1,2))</f>
      </c>
      <c r="AF195" s="7"/>
    </row>
    <row x14ac:dyDescent="0.25" r="196" customHeight="1" ht="17.25" hidden="1">
      <c r="A196" s="7" t="s">
        <v>76</v>
      </c>
      <c r="B196" s="7" t="s">
        <v>32</v>
      </c>
      <c r="C196" s="7" t="s">
        <v>50</v>
      </c>
      <c r="D196" s="10">
        <v>2</v>
      </c>
      <c r="E196" s="7" t="s">
        <v>51</v>
      </c>
      <c r="F196" s="10">
        <v>192</v>
      </c>
      <c r="G196" s="11">
        <v>71</v>
      </c>
      <c r="H196" s="12">
        <f>G196/((F196/100)*(F196/100))</f>
      </c>
      <c r="I196" s="11">
        <f>IF(H196&lt;25,0,IF(H196&lt;30,1,2))</f>
      </c>
      <c r="J196" s="13">
        <v>2</v>
      </c>
      <c r="K196" s="7" t="s">
        <v>61</v>
      </c>
      <c r="L196" s="7" t="s">
        <v>147</v>
      </c>
      <c r="M196" s="7" t="s">
        <v>54</v>
      </c>
      <c r="N196" s="7" t="s">
        <v>179</v>
      </c>
      <c r="O196" s="7" t="s">
        <v>80</v>
      </c>
      <c r="P196" s="7" t="s">
        <v>81</v>
      </c>
      <c r="Q196" s="10">
        <f>IF(P196="None of the above",0,2)</f>
      </c>
      <c r="R196" s="7" t="s">
        <v>56</v>
      </c>
      <c r="S196" s="15" t="s">
        <v>48</v>
      </c>
      <c r="T196" s="7" t="s">
        <v>96</v>
      </c>
      <c r="U196" s="10">
        <f>IF(T196="Heavy physical",0,IF(T196="Moderate activity",1,2))</f>
      </c>
      <c r="V196" s="5" t="s">
        <v>57</v>
      </c>
      <c r="W196" s="10">
        <f>IF(V196="7–8 hours",0,IF(V196="6–7 hours",1,2))</f>
      </c>
      <c r="X196" s="7" t="s">
        <v>70</v>
      </c>
      <c r="Y196" s="7" t="s">
        <v>75</v>
      </c>
      <c r="Z196" s="7" t="s">
        <v>92</v>
      </c>
      <c r="AA196" s="7" t="s">
        <v>42</v>
      </c>
      <c r="AB196" s="7" t="s">
        <v>42</v>
      </c>
      <c r="AC196" s="7" t="s">
        <v>42</v>
      </c>
      <c r="AD196" s="10">
        <f>I196 + Q196 + U196 + W196</f>
      </c>
      <c r="AE196" s="10">
        <f>IF(AD196&lt;=2,0,IF(AD196&lt;=5,1,2))</f>
      </c>
      <c r="AF196" s="7"/>
    </row>
    <row x14ac:dyDescent="0.25" r="197" customHeight="1" ht="17.25" hidden="1">
      <c r="A197" s="7" t="s">
        <v>49</v>
      </c>
      <c r="B197" s="7" t="s">
        <v>66</v>
      </c>
      <c r="C197" s="7" t="s">
        <v>122</v>
      </c>
      <c r="D197" s="10">
        <v>7</v>
      </c>
      <c r="E197" s="7" t="s">
        <v>51</v>
      </c>
      <c r="F197" s="10">
        <v>151</v>
      </c>
      <c r="G197" s="11">
        <v>51</v>
      </c>
      <c r="H197" s="12">
        <f>G197/((F197/100)*(F197/100))</f>
      </c>
      <c r="I197" s="11">
        <f>IF(H197&lt;25,0,IF(H197&lt;30,1,2))</f>
      </c>
      <c r="J197" s="13">
        <v>2</v>
      </c>
      <c r="K197" s="7" t="s">
        <v>72</v>
      </c>
      <c r="L197" s="7" t="s">
        <v>133</v>
      </c>
      <c r="M197" s="7" t="s">
        <v>37</v>
      </c>
      <c r="N197" s="7" t="s">
        <v>179</v>
      </c>
      <c r="O197" s="7" t="s">
        <v>63</v>
      </c>
      <c r="P197" s="7" t="s">
        <v>40</v>
      </c>
      <c r="Q197" s="10">
        <f>IF(P197="None of the above",0,2)</f>
      </c>
      <c r="R197" s="15" t="s">
        <v>56</v>
      </c>
      <c r="S197" s="15" t="s">
        <v>48</v>
      </c>
      <c r="T197" s="7" t="s">
        <v>99</v>
      </c>
      <c r="U197" s="10">
        <f>IF(T197="Heavy physical",0,IF(T197="Moderate activity",1,2))</f>
      </c>
      <c r="V197" s="5" t="s">
        <v>69</v>
      </c>
      <c r="W197" s="10">
        <f>IF(V197="7–8 hours",0,IF(V197="6–7 hours",1,2))</f>
      </c>
      <c r="X197" s="7" t="s">
        <v>102</v>
      </c>
      <c r="Y197" s="15" t="s">
        <v>64</v>
      </c>
      <c r="Z197" s="7" t="s">
        <v>47</v>
      </c>
      <c r="AA197" s="7" t="s">
        <v>42</v>
      </c>
      <c r="AB197" s="7" t="s">
        <v>42</v>
      </c>
      <c r="AC197" s="7" t="s">
        <v>42</v>
      </c>
      <c r="AD197" s="10">
        <f>I197 + Q197 + U197 + W197</f>
      </c>
      <c r="AE197" s="10">
        <f>IF(AD197&lt;=2,0,IF(AD197&lt;=5,1,2))</f>
      </c>
      <c r="AF197" s="7"/>
    </row>
    <row x14ac:dyDescent="0.25" r="198" customHeight="1" ht="17.25" hidden="1">
      <c r="A198" s="7" t="s">
        <v>149</v>
      </c>
      <c r="B198" s="7" t="s">
        <v>93</v>
      </c>
      <c r="C198" s="7" t="s">
        <v>50</v>
      </c>
      <c r="D198" s="10">
        <v>1</v>
      </c>
      <c r="E198" s="7" t="s">
        <v>51</v>
      </c>
      <c r="F198" s="10">
        <v>166</v>
      </c>
      <c r="G198" s="11">
        <v>103</v>
      </c>
      <c r="H198" s="12">
        <f>G198/((F198/100)*(F198/100))</f>
      </c>
      <c r="I198" s="11">
        <f>IF(H198&lt;25,0,IF(H198&lt;30,1,2))</f>
      </c>
      <c r="J198" s="13">
        <v>2</v>
      </c>
      <c r="K198" s="7" t="s">
        <v>52</v>
      </c>
      <c r="L198" s="7" t="s">
        <v>180</v>
      </c>
      <c r="M198" s="7" t="s">
        <v>54</v>
      </c>
      <c r="N198" s="7" t="s">
        <v>179</v>
      </c>
      <c r="O198" s="7" t="s">
        <v>63</v>
      </c>
      <c r="P198" s="7" t="s">
        <v>132</v>
      </c>
      <c r="Q198" s="10">
        <f>IF(P198="None of the above",0,2)</f>
      </c>
      <c r="R198" s="7"/>
      <c r="S198" s="7" t="s">
        <v>42</v>
      </c>
      <c r="T198" s="7" t="s">
        <v>96</v>
      </c>
      <c r="U198" s="10">
        <f>IF(T198="Heavy physical",0,IF(T198="Moderate activity",1,2))</f>
      </c>
      <c r="V198" s="5" t="s">
        <v>97</v>
      </c>
      <c r="W198" s="10">
        <f>IF(V198="7–8 hours",0,IF(V198="6–7 hours",1,2))</f>
      </c>
      <c r="X198" s="7" t="s">
        <v>45</v>
      </c>
      <c r="Y198" s="7" t="s">
        <v>75</v>
      </c>
      <c r="Z198" s="7" t="s">
        <v>45</v>
      </c>
      <c r="AA198" s="7" t="s">
        <v>42</v>
      </c>
      <c r="AB198" s="7" t="s">
        <v>42</v>
      </c>
      <c r="AC198" s="7" t="s">
        <v>42</v>
      </c>
      <c r="AD198" s="10">
        <f>I198 + Q198 + U198 + W198</f>
      </c>
      <c r="AE198" s="10">
        <f>IF(AD198&lt;=2,0,IF(AD198&lt;=5,1,2))</f>
      </c>
      <c r="AF198" s="7"/>
    </row>
    <row x14ac:dyDescent="0.25" r="199" customHeight="1" ht="17.25" hidden="1">
      <c r="A199" s="7" t="s">
        <v>31</v>
      </c>
      <c r="B199" s="7" t="s">
        <v>66</v>
      </c>
      <c r="C199" s="7" t="s">
        <v>33</v>
      </c>
      <c r="D199" s="10">
        <v>6</v>
      </c>
      <c r="E199" s="7" t="s">
        <v>51</v>
      </c>
      <c r="F199" s="10">
        <v>195</v>
      </c>
      <c r="G199" s="11">
        <v>57</v>
      </c>
      <c r="H199" s="12">
        <f>G199/((F199/100)*(F199/100))</f>
      </c>
      <c r="I199" s="11">
        <f>IF(H199&lt;25,0,IF(H199&lt;30,1,2))</f>
      </c>
      <c r="J199" s="13">
        <v>3</v>
      </c>
      <c r="K199" s="7" t="s">
        <v>35</v>
      </c>
      <c r="L199" s="7" t="s">
        <v>181</v>
      </c>
      <c r="M199" s="7" t="s">
        <v>37</v>
      </c>
      <c r="N199" s="7" t="s">
        <v>179</v>
      </c>
      <c r="O199" s="7" t="s">
        <v>68</v>
      </c>
      <c r="P199" s="7" t="s">
        <v>81</v>
      </c>
      <c r="Q199" s="10">
        <f>IF(P199="None of the above",0,2)</f>
      </c>
      <c r="R199" s="7" t="s">
        <v>89</v>
      </c>
      <c r="S199" s="15" t="s">
        <v>48</v>
      </c>
      <c r="T199" s="7" t="s">
        <v>99</v>
      </c>
      <c r="U199" s="10">
        <f>IF(T199="Heavy physical",0,IF(T199="Moderate activity",1,2))</f>
      </c>
      <c r="V199" s="5" t="s">
        <v>57</v>
      </c>
      <c r="W199" s="10">
        <f>IF(V199="7–8 hours",0,IF(V199="6–7 hours",1,2))</f>
      </c>
      <c r="X199" s="7" t="s">
        <v>70</v>
      </c>
      <c r="Y199" s="15" t="s">
        <v>64</v>
      </c>
      <c r="Z199" s="7" t="s">
        <v>45</v>
      </c>
      <c r="AA199" s="7" t="s">
        <v>42</v>
      </c>
      <c r="AB199" s="7" t="s">
        <v>42</v>
      </c>
      <c r="AC199" s="7" t="s">
        <v>42</v>
      </c>
      <c r="AD199" s="10">
        <f>I199 + Q199 + U199 + W199</f>
      </c>
      <c r="AE199" s="10">
        <f>IF(AD199&lt;=2,0,IF(AD199&lt;=5,1,2))</f>
      </c>
      <c r="AF199" s="7"/>
    </row>
    <row x14ac:dyDescent="0.25" r="200" customHeight="1" ht="17.25" hidden="1">
      <c r="A200" s="7" t="s">
        <v>49</v>
      </c>
      <c r="B200" s="7" t="s">
        <v>71</v>
      </c>
      <c r="C200" s="7" t="s">
        <v>50</v>
      </c>
      <c r="D200" s="10">
        <v>8</v>
      </c>
      <c r="E200" s="7" t="s">
        <v>51</v>
      </c>
      <c r="F200" s="10">
        <v>154</v>
      </c>
      <c r="G200" s="11">
        <v>82</v>
      </c>
      <c r="H200" s="12">
        <f>G200/((F200/100)*(F200/100))</f>
      </c>
      <c r="I200" s="11">
        <f>IF(H200&lt;25,0,IF(H200&lt;30,1,2))</f>
      </c>
      <c r="J200" s="13">
        <v>3</v>
      </c>
      <c r="K200" s="7" t="s">
        <v>105</v>
      </c>
      <c r="L200" s="7" t="s">
        <v>182</v>
      </c>
      <c r="M200" s="7" t="s">
        <v>54</v>
      </c>
      <c r="N200" s="7" t="s">
        <v>179</v>
      </c>
      <c r="O200" s="7" t="s">
        <v>39</v>
      </c>
      <c r="P200" s="7" t="s">
        <v>40</v>
      </c>
      <c r="Q200" s="10">
        <f>IF(P200="None of the above",0,2)</f>
      </c>
      <c r="R200" s="15" t="s">
        <v>56</v>
      </c>
      <c r="S200" s="15" t="s">
        <v>48</v>
      </c>
      <c r="T200" s="7" t="s">
        <v>96</v>
      </c>
      <c r="U200" s="10">
        <f>IF(T200="Heavy physical",0,IF(T200="Moderate activity",1,2))</f>
      </c>
      <c r="V200" s="5" t="s">
        <v>69</v>
      </c>
      <c r="W200" s="10">
        <f>IF(V200="7–8 hours",0,IF(V200="6–7 hours",1,2))</f>
      </c>
      <c r="X200" s="7" t="s">
        <v>102</v>
      </c>
      <c r="Y200" s="15" t="s">
        <v>64</v>
      </c>
      <c r="Z200" s="7" t="s">
        <v>45</v>
      </c>
      <c r="AA200" s="7" t="s">
        <v>42</v>
      </c>
      <c r="AB200" s="7" t="s">
        <v>42</v>
      </c>
      <c r="AC200" s="7" t="s">
        <v>42</v>
      </c>
      <c r="AD200" s="10">
        <f>I200 + Q200 + U200 + W200</f>
      </c>
      <c r="AE200" s="10">
        <f>IF(AD200&lt;=2,0,IF(AD200&lt;=5,1,2))</f>
      </c>
      <c r="AF200" s="7"/>
    </row>
    <row x14ac:dyDescent="0.25" r="201" customHeight="1" ht="17.25" hidden="1">
      <c r="A201" s="7" t="s">
        <v>49</v>
      </c>
      <c r="B201" s="7" t="s">
        <v>32</v>
      </c>
      <c r="C201" s="7"/>
      <c r="D201" s="10">
        <v>6</v>
      </c>
      <c r="E201" s="7" t="s">
        <v>51</v>
      </c>
      <c r="F201" s="10">
        <v>171</v>
      </c>
      <c r="G201" s="11">
        <v>93</v>
      </c>
      <c r="H201" s="12">
        <f>G201/((F201/100)*(F201/100))</f>
      </c>
      <c r="I201" s="11">
        <f>IF(H201&lt;25,0,IF(H201&lt;30,1,2))</f>
      </c>
      <c r="J201" s="13">
        <v>1</v>
      </c>
      <c r="K201" s="7" t="s">
        <v>61</v>
      </c>
      <c r="L201" s="7" t="s">
        <v>108</v>
      </c>
      <c r="M201" s="7" t="s">
        <v>37</v>
      </c>
      <c r="N201" s="7" t="s">
        <v>179</v>
      </c>
      <c r="O201" s="7" t="s">
        <v>63</v>
      </c>
      <c r="P201" s="15" t="s">
        <v>132</v>
      </c>
      <c r="Q201" s="10">
        <f>IF(P201="None of the above",0,2)</f>
      </c>
      <c r="R201" s="7" t="s">
        <v>56</v>
      </c>
      <c r="S201" s="15" t="s">
        <v>48</v>
      </c>
      <c r="T201" s="7" t="s">
        <v>96</v>
      </c>
      <c r="U201" s="10">
        <f>IF(T201="Heavy physical",0,IF(T201="Moderate activity",1,2))</f>
      </c>
      <c r="V201" s="5" t="s">
        <v>57</v>
      </c>
      <c r="W201" s="10">
        <f>IF(V201="7–8 hours",0,IF(V201="6–7 hours",1,2))</f>
      </c>
      <c r="X201" s="7" t="s">
        <v>70</v>
      </c>
      <c r="Y201" s="7" t="s">
        <v>58</v>
      </c>
      <c r="Z201" s="7" t="s">
        <v>65</v>
      </c>
      <c r="AA201" s="7" t="s">
        <v>42</v>
      </c>
      <c r="AB201" s="7" t="s">
        <v>42</v>
      </c>
      <c r="AC201" s="7" t="s">
        <v>42</v>
      </c>
      <c r="AD201" s="10">
        <f>I201 + Q201 + U201 + W201</f>
      </c>
      <c r="AE201" s="10">
        <f>IF(AD201&lt;=2,0,IF(AD201&lt;=5,1,2))</f>
      </c>
      <c r="AF201" s="7"/>
    </row>
    <row x14ac:dyDescent="0.25" r="202" customHeight="1" ht="17.25" hidden="1">
      <c r="A202" s="7" t="s">
        <v>31</v>
      </c>
      <c r="B202" s="7" t="s">
        <v>84</v>
      </c>
      <c r="C202" s="7" t="s">
        <v>50</v>
      </c>
      <c r="D202" s="10">
        <v>2</v>
      </c>
      <c r="E202" s="7" t="s">
        <v>34</v>
      </c>
      <c r="F202" s="10">
        <v>173</v>
      </c>
      <c r="G202" s="11">
        <v>90</v>
      </c>
      <c r="H202" s="12">
        <f>G202/((F202/100)*(F202/100))</f>
      </c>
      <c r="I202" s="11">
        <f>IF(H202&lt;25,0,IF(H202&lt;30,1,2))</f>
      </c>
      <c r="J202" s="13">
        <v>2</v>
      </c>
      <c r="K202" s="7" t="s">
        <v>105</v>
      </c>
      <c r="L202" s="7" t="s">
        <v>133</v>
      </c>
      <c r="M202" s="7" t="s">
        <v>54</v>
      </c>
      <c r="N202" s="7" t="s">
        <v>179</v>
      </c>
      <c r="O202" s="7" t="s">
        <v>80</v>
      </c>
      <c r="P202" s="7" t="s">
        <v>81</v>
      </c>
      <c r="Q202" s="10">
        <f>IF(P202="None of the above",0,2)</f>
      </c>
      <c r="R202" s="7" t="s">
        <v>89</v>
      </c>
      <c r="S202" s="7" t="s">
        <v>42</v>
      </c>
      <c r="T202" s="7" t="s">
        <v>99</v>
      </c>
      <c r="U202" s="10">
        <f>IF(T202="Heavy physical",0,IF(T202="Moderate activity",1,2))</f>
      </c>
      <c r="V202" s="5" t="s">
        <v>97</v>
      </c>
      <c r="W202" s="10">
        <f>IF(V202="7–8 hours",0,IF(V202="6–7 hours",1,2))</f>
      </c>
      <c r="X202" s="7" t="s">
        <v>70</v>
      </c>
      <c r="Y202" s="7" t="s">
        <v>58</v>
      </c>
      <c r="Z202" s="7" t="s">
        <v>45</v>
      </c>
      <c r="AA202" s="7" t="s">
        <v>42</v>
      </c>
      <c r="AB202" s="7" t="s">
        <v>42</v>
      </c>
      <c r="AC202" s="7" t="s">
        <v>42</v>
      </c>
      <c r="AD202" s="10">
        <f>I202 + Q202 + U202 + W202</f>
      </c>
      <c r="AE202" s="10">
        <f>IF(AD202&lt;=2,0,IF(AD202&lt;=5,1,2))</f>
      </c>
      <c r="AF202" s="7"/>
    </row>
    <row x14ac:dyDescent="0.25" r="203" customHeight="1" ht="17.25" hidden="1">
      <c r="A203" s="7" t="s">
        <v>49</v>
      </c>
      <c r="B203" s="7" t="s">
        <v>71</v>
      </c>
      <c r="C203" s="7" t="s">
        <v>122</v>
      </c>
      <c r="D203" s="10">
        <v>8</v>
      </c>
      <c r="E203" s="7" t="s">
        <v>34</v>
      </c>
      <c r="F203" s="10">
        <v>190</v>
      </c>
      <c r="G203" s="11">
        <v>104</v>
      </c>
      <c r="H203" s="12">
        <f>G203/((F203/100)*(F203/100))</f>
      </c>
      <c r="I203" s="11">
        <f>IF(H203&lt;25,0,IF(H203&lt;30,1,2))</f>
      </c>
      <c r="J203" s="13">
        <v>2</v>
      </c>
      <c r="K203" s="7" t="s">
        <v>61</v>
      </c>
      <c r="L203" s="7" t="s">
        <v>140</v>
      </c>
      <c r="M203" s="7" t="s">
        <v>54</v>
      </c>
      <c r="N203" s="7" t="s">
        <v>179</v>
      </c>
      <c r="O203" s="7" t="s">
        <v>68</v>
      </c>
      <c r="P203" s="7" t="s">
        <v>55</v>
      </c>
      <c r="Q203" s="10">
        <f>IF(P203="None of the above",0,2)</f>
      </c>
      <c r="R203" s="15" t="s">
        <v>56</v>
      </c>
      <c r="S203" s="15" t="s">
        <v>48</v>
      </c>
      <c r="T203" s="7" t="s">
        <v>96</v>
      </c>
      <c r="U203" s="10">
        <f>IF(T203="Heavy physical",0,IF(T203="Moderate activity",1,2))</f>
      </c>
      <c r="V203" s="5" t="s">
        <v>57</v>
      </c>
      <c r="W203" s="10">
        <f>IF(V203="7–8 hours",0,IF(V203="6–7 hours",1,2))</f>
      </c>
      <c r="X203" s="7" t="s">
        <v>83</v>
      </c>
      <c r="Y203" s="7" t="s">
        <v>75</v>
      </c>
      <c r="Z203" s="7" t="s">
        <v>47</v>
      </c>
      <c r="AA203" s="7" t="s">
        <v>42</v>
      </c>
      <c r="AB203" s="7" t="s">
        <v>42</v>
      </c>
      <c r="AC203" s="7" t="s">
        <v>42</v>
      </c>
      <c r="AD203" s="10">
        <f>I203 + Q203 + U203 + W203</f>
      </c>
      <c r="AE203" s="10">
        <f>IF(AD203&lt;=2,0,IF(AD203&lt;=5,1,2))</f>
      </c>
      <c r="AF203" s="7"/>
    </row>
    <row x14ac:dyDescent="0.25" r="204" customHeight="1" ht="17.25" hidden="1">
      <c r="A204" s="7" t="s">
        <v>76</v>
      </c>
      <c r="B204" s="7" t="s">
        <v>84</v>
      </c>
      <c r="C204" s="7" t="s">
        <v>33</v>
      </c>
      <c r="D204" s="10">
        <v>3</v>
      </c>
      <c r="E204" s="7" t="s">
        <v>51</v>
      </c>
      <c r="F204" s="10">
        <v>149</v>
      </c>
      <c r="G204" s="11">
        <v>103</v>
      </c>
      <c r="H204" s="12">
        <f>G204/((F204/100)*(F204/100))</f>
      </c>
      <c r="I204" s="11">
        <f>IF(H204&lt;25,0,IF(H204&lt;30,1,2))</f>
      </c>
      <c r="J204" s="13">
        <v>1</v>
      </c>
      <c r="K204" s="7" t="s">
        <v>72</v>
      </c>
      <c r="L204" s="7" t="s">
        <v>107</v>
      </c>
      <c r="M204" s="7" t="s">
        <v>54</v>
      </c>
      <c r="N204" s="7" t="s">
        <v>179</v>
      </c>
      <c r="O204" s="7" t="s">
        <v>39</v>
      </c>
      <c r="P204" s="7" t="s">
        <v>81</v>
      </c>
      <c r="Q204" s="10">
        <f>IF(P204="None of the above",0,2)</f>
      </c>
      <c r="R204" s="7" t="s">
        <v>89</v>
      </c>
      <c r="S204" s="15" t="s">
        <v>48</v>
      </c>
      <c r="T204" s="7" t="s">
        <v>96</v>
      </c>
      <c r="U204" s="10">
        <f>IF(T204="Heavy physical",0,IF(T204="Moderate activity",1,2))</f>
      </c>
      <c r="V204" s="5" t="s">
        <v>57</v>
      </c>
      <c r="W204" s="10">
        <f>IF(V204="7–8 hours",0,IF(V204="6–7 hours",1,2))</f>
      </c>
      <c r="X204" s="7" t="s">
        <v>102</v>
      </c>
      <c r="Y204" s="7" t="s">
        <v>58</v>
      </c>
      <c r="Z204" s="7" t="s">
        <v>92</v>
      </c>
      <c r="AA204" s="7" t="s">
        <v>42</v>
      </c>
      <c r="AB204" s="7" t="s">
        <v>42</v>
      </c>
      <c r="AC204" s="7" t="s">
        <v>42</v>
      </c>
      <c r="AD204" s="10">
        <f>I204 + Q204 + U204 + W204</f>
      </c>
      <c r="AE204" s="10">
        <f>IF(AD204&lt;=2,0,IF(AD204&lt;=5,1,2))</f>
      </c>
      <c r="AF204" s="7"/>
    </row>
    <row x14ac:dyDescent="0.25" r="205" customHeight="1" ht="17.25" hidden="1">
      <c r="A205" s="7" t="s">
        <v>76</v>
      </c>
      <c r="B205" s="7" t="s">
        <v>66</v>
      </c>
      <c r="C205" s="7" t="s">
        <v>33</v>
      </c>
      <c r="D205" s="10">
        <v>4</v>
      </c>
      <c r="E205" s="7" t="s">
        <v>34</v>
      </c>
      <c r="F205" s="10">
        <v>185</v>
      </c>
      <c r="G205" s="11">
        <v>62</v>
      </c>
      <c r="H205" s="12">
        <f>G205/((F205/100)*(F205/100))</f>
      </c>
      <c r="I205" s="11">
        <f>IF(H205&lt;25,0,IF(H205&lt;30,1,2))</f>
      </c>
      <c r="J205" s="13">
        <v>3</v>
      </c>
      <c r="K205" s="7" t="s">
        <v>72</v>
      </c>
      <c r="L205" s="7" t="s">
        <v>167</v>
      </c>
      <c r="M205" s="7" t="s">
        <v>37</v>
      </c>
      <c r="N205" s="7" t="s">
        <v>179</v>
      </c>
      <c r="O205" s="7" t="s">
        <v>68</v>
      </c>
      <c r="P205" s="7" t="s">
        <v>40</v>
      </c>
      <c r="Q205" s="10">
        <f>IF(P205="None of the above",0,2)</f>
      </c>
      <c r="R205" s="7" t="s">
        <v>56</v>
      </c>
      <c r="S205" s="7" t="s">
        <v>42</v>
      </c>
      <c r="T205" s="7" t="s">
        <v>99</v>
      </c>
      <c r="U205" s="10">
        <f>IF(T205="Heavy physical",0,IF(T205="Moderate activity",1,2))</f>
      </c>
      <c r="V205" s="5" t="s">
        <v>69</v>
      </c>
      <c r="W205" s="10">
        <f>IF(V205="7–8 hours",0,IF(V205="6–7 hours",1,2))</f>
      </c>
      <c r="X205" s="7" t="s">
        <v>45</v>
      </c>
      <c r="Y205" s="7" t="s">
        <v>58</v>
      </c>
      <c r="Z205" s="7" t="s">
        <v>65</v>
      </c>
      <c r="AA205" s="7" t="s">
        <v>48</v>
      </c>
      <c r="AB205" s="7" t="s">
        <v>48</v>
      </c>
      <c r="AC205" s="7" t="s">
        <v>42</v>
      </c>
      <c r="AD205" s="10">
        <f>I205 + Q205 + U205 + W205</f>
      </c>
      <c r="AE205" s="10">
        <f>IF(AD205&lt;=2,0,IF(AD205&lt;=5,1,2))</f>
      </c>
      <c r="AF205" s="7"/>
    </row>
    <row x14ac:dyDescent="0.25" r="206" customHeight="1" ht="17.25" hidden="1">
      <c r="A206" s="7" t="s">
        <v>76</v>
      </c>
      <c r="B206" s="7" t="s">
        <v>71</v>
      </c>
      <c r="C206" s="7" t="s">
        <v>33</v>
      </c>
      <c r="D206" s="10">
        <v>8</v>
      </c>
      <c r="E206" s="7" t="s">
        <v>51</v>
      </c>
      <c r="F206" s="10">
        <v>161</v>
      </c>
      <c r="G206" s="11">
        <v>101</v>
      </c>
      <c r="H206" s="12">
        <f>G206/((F206/100)*(F206/100))</f>
      </c>
      <c r="I206" s="11">
        <f>IF(H206&lt;25,0,IF(H206&lt;30,1,2))</f>
      </c>
      <c r="J206" s="13">
        <v>2</v>
      </c>
      <c r="K206" s="7" t="s">
        <v>35</v>
      </c>
      <c r="L206" s="7" t="s">
        <v>183</v>
      </c>
      <c r="M206" s="7" t="s">
        <v>37</v>
      </c>
      <c r="N206" s="7" t="s">
        <v>179</v>
      </c>
      <c r="O206" s="7" t="s">
        <v>68</v>
      </c>
      <c r="P206" s="7" t="s">
        <v>40</v>
      </c>
      <c r="Q206" s="10">
        <f>IF(P206="None of the above",0,2)</f>
      </c>
      <c r="R206" s="15" t="s">
        <v>56</v>
      </c>
      <c r="S206" s="15" t="s">
        <v>48</v>
      </c>
      <c r="T206" s="7" t="s">
        <v>96</v>
      </c>
      <c r="U206" s="10">
        <f>IF(T206="Heavy physical",0,IF(T206="Moderate activity",1,2))</f>
      </c>
      <c r="V206" s="5" t="s">
        <v>57</v>
      </c>
      <c r="W206" s="10">
        <f>IF(V206="7–8 hours",0,IF(V206="6–7 hours",1,2))</f>
      </c>
      <c r="X206" s="7" t="s">
        <v>102</v>
      </c>
      <c r="Y206" s="15" t="s">
        <v>64</v>
      </c>
      <c r="Z206" s="7" t="s">
        <v>45</v>
      </c>
      <c r="AA206" s="7" t="s">
        <v>42</v>
      </c>
      <c r="AB206" s="7" t="s">
        <v>42</v>
      </c>
      <c r="AC206" s="7" t="s">
        <v>42</v>
      </c>
      <c r="AD206" s="10">
        <f>I206 + Q206 + U206 + W206</f>
      </c>
      <c r="AE206" s="10">
        <f>IF(AD206&lt;=2,0,IF(AD206&lt;=5,1,2))</f>
      </c>
      <c r="AF206" s="7"/>
    </row>
    <row x14ac:dyDescent="0.25" r="207" customHeight="1" ht="17.25" hidden="1">
      <c r="A207" s="7" t="s">
        <v>31</v>
      </c>
      <c r="B207" s="7" t="s">
        <v>84</v>
      </c>
      <c r="C207" s="7" t="s">
        <v>33</v>
      </c>
      <c r="D207" s="10">
        <v>5</v>
      </c>
      <c r="E207" s="7" t="s">
        <v>34</v>
      </c>
      <c r="F207" s="10">
        <v>189</v>
      </c>
      <c r="G207" s="11">
        <v>62</v>
      </c>
      <c r="H207" s="12">
        <f>G207/((F207/100)*(F207/100))</f>
      </c>
      <c r="I207" s="11">
        <f>IF(H207&lt;25,0,IF(H207&lt;30,1,2))</f>
      </c>
      <c r="J207" s="13">
        <v>2</v>
      </c>
      <c r="K207" s="7" t="s">
        <v>35</v>
      </c>
      <c r="L207" s="7" t="s">
        <v>121</v>
      </c>
      <c r="M207" s="7" t="s">
        <v>37</v>
      </c>
      <c r="N207" s="7" t="s">
        <v>179</v>
      </c>
      <c r="O207" s="7" t="s">
        <v>74</v>
      </c>
      <c r="P207" s="7" t="s">
        <v>81</v>
      </c>
      <c r="Q207" s="10">
        <f>IF(P207="None of the above",0,2)</f>
      </c>
      <c r="R207" s="7" t="s">
        <v>89</v>
      </c>
      <c r="S207" s="7" t="s">
        <v>42</v>
      </c>
      <c r="T207" s="7" t="s">
        <v>96</v>
      </c>
      <c r="U207" s="10">
        <f>IF(T207="Heavy physical",0,IF(T207="Moderate activity",1,2))</f>
      </c>
      <c r="V207" s="5" t="s">
        <v>57</v>
      </c>
      <c r="W207" s="10">
        <f>IF(V207="7–8 hours",0,IF(V207="6–7 hours",1,2))</f>
      </c>
      <c r="X207" s="7" t="s">
        <v>45</v>
      </c>
      <c r="Y207" s="15" t="s">
        <v>64</v>
      </c>
      <c r="Z207" s="7" t="s">
        <v>65</v>
      </c>
      <c r="AA207" s="7" t="s">
        <v>42</v>
      </c>
      <c r="AB207" s="7" t="s">
        <v>48</v>
      </c>
      <c r="AC207" s="7" t="s">
        <v>48</v>
      </c>
      <c r="AD207" s="10">
        <f>I207 + Q207 + U207 + W207</f>
      </c>
      <c r="AE207" s="10">
        <f>IF(AD207&lt;=2,0,IF(AD207&lt;=5,1,2))</f>
      </c>
      <c r="AF207" s="7"/>
    </row>
    <row x14ac:dyDescent="0.25" r="208" customHeight="1" ht="17.25" hidden="1">
      <c r="A208" s="7" t="s">
        <v>76</v>
      </c>
      <c r="B208" s="7" t="s">
        <v>32</v>
      </c>
      <c r="C208" s="7" t="s">
        <v>33</v>
      </c>
      <c r="D208" s="10">
        <v>3</v>
      </c>
      <c r="E208" s="7" t="s">
        <v>34</v>
      </c>
      <c r="F208" s="10">
        <v>144</v>
      </c>
      <c r="G208" s="11">
        <v>89</v>
      </c>
      <c r="H208" s="12">
        <f>G208/((F208/100)*(F208/100))</f>
      </c>
      <c r="I208" s="11">
        <f>IF(H208&lt;25,0,IF(H208&lt;30,1,2))</f>
      </c>
      <c r="J208" s="13">
        <v>1</v>
      </c>
      <c r="K208" s="7" t="s">
        <v>86</v>
      </c>
      <c r="L208" s="7" t="s">
        <v>133</v>
      </c>
      <c r="M208" s="7" t="s">
        <v>37</v>
      </c>
      <c r="N208" s="7" t="s">
        <v>179</v>
      </c>
      <c r="O208" s="7" t="s">
        <v>68</v>
      </c>
      <c r="P208" s="7" t="s">
        <v>81</v>
      </c>
      <c r="Q208" s="10">
        <f>IF(P208="None of the above",0,2)</f>
      </c>
      <c r="R208" s="7" t="s">
        <v>56</v>
      </c>
      <c r="S208" s="15" t="s">
        <v>48</v>
      </c>
      <c r="T208" s="7" t="s">
        <v>96</v>
      </c>
      <c r="U208" s="10">
        <f>IF(T208="Heavy physical",0,IF(T208="Moderate activity",1,2))</f>
      </c>
      <c r="V208" s="5" t="s">
        <v>69</v>
      </c>
      <c r="W208" s="10">
        <f>IF(V208="7–8 hours",0,IF(V208="6–7 hours",1,2))</f>
      </c>
      <c r="X208" s="7" t="s">
        <v>70</v>
      </c>
      <c r="Y208" s="7" t="s">
        <v>75</v>
      </c>
      <c r="Z208" s="7" t="s">
        <v>45</v>
      </c>
      <c r="AA208" s="7" t="s">
        <v>48</v>
      </c>
      <c r="AB208" s="7" t="s">
        <v>48</v>
      </c>
      <c r="AC208" s="7" t="s">
        <v>42</v>
      </c>
      <c r="AD208" s="10">
        <f>I208 + Q208 + U208 + W208</f>
      </c>
      <c r="AE208" s="10">
        <f>IF(AD208&lt;=2,0,IF(AD208&lt;=5,1,2))</f>
      </c>
      <c r="AF208" s="7"/>
    </row>
    <row x14ac:dyDescent="0.25" r="209" customHeight="1" ht="17.25" hidden="1">
      <c r="A209" s="7" t="s">
        <v>49</v>
      </c>
      <c r="B209" s="7" t="s">
        <v>66</v>
      </c>
      <c r="C209" s="7" t="s">
        <v>33</v>
      </c>
      <c r="D209" s="10">
        <v>7</v>
      </c>
      <c r="E209" s="7" t="s">
        <v>34</v>
      </c>
      <c r="F209" s="10">
        <v>178</v>
      </c>
      <c r="G209" s="11">
        <v>84</v>
      </c>
      <c r="H209" s="12">
        <f>G209/((F209/100)*(F209/100))</f>
      </c>
      <c r="I209" s="11">
        <f>IF(H209&lt;25,0,IF(H209&lt;30,1,2))</f>
      </c>
      <c r="J209" s="13">
        <v>2</v>
      </c>
      <c r="K209" s="7" t="s">
        <v>72</v>
      </c>
      <c r="L209" s="7" t="s">
        <v>184</v>
      </c>
      <c r="M209" s="7" t="s">
        <v>185</v>
      </c>
      <c r="N209" s="7" t="s">
        <v>179</v>
      </c>
      <c r="O209" s="7" t="s">
        <v>74</v>
      </c>
      <c r="P209" s="7" t="s">
        <v>55</v>
      </c>
      <c r="Q209" s="10">
        <f>IF(P209="None of the above",0,2)</f>
      </c>
      <c r="R209" s="15" t="s">
        <v>56</v>
      </c>
      <c r="S209" s="15" t="s">
        <v>48</v>
      </c>
      <c r="T209" s="7" t="s">
        <v>96</v>
      </c>
      <c r="U209" s="10">
        <f>IF(T209="Heavy physical",0,IF(T209="Moderate activity",1,2))</f>
      </c>
      <c r="V209" s="5" t="s">
        <v>44</v>
      </c>
      <c r="W209" s="10">
        <f>IF(V209="7–8 hours",0,IF(V209="6–7 hours",1,2))</f>
      </c>
      <c r="X209" s="7" t="s">
        <v>102</v>
      </c>
      <c r="Y209" s="15" t="s">
        <v>64</v>
      </c>
      <c r="Z209" s="7" t="s">
        <v>45</v>
      </c>
      <c r="AA209" s="7" t="s">
        <v>42</v>
      </c>
      <c r="AB209" s="7" t="s">
        <v>48</v>
      </c>
      <c r="AC209" s="7" t="s">
        <v>42</v>
      </c>
      <c r="AD209" s="10">
        <f>I209 + Q209 + U209 + W209</f>
      </c>
      <c r="AE209" s="10">
        <f>IF(AD209&lt;=2,0,IF(AD209&lt;=5,1,2))</f>
      </c>
      <c r="AF209" s="7"/>
    </row>
    <row x14ac:dyDescent="0.25" r="210" customHeight="1" ht="17.25" hidden="1">
      <c r="A210" s="7" t="s">
        <v>31</v>
      </c>
      <c r="B210" s="7" t="s">
        <v>32</v>
      </c>
      <c r="C210" s="7" t="s">
        <v>33</v>
      </c>
      <c r="D210" s="10">
        <v>5</v>
      </c>
      <c r="E210" s="7" t="s">
        <v>34</v>
      </c>
      <c r="F210" s="10">
        <v>166</v>
      </c>
      <c r="G210" s="11">
        <v>120</v>
      </c>
      <c r="H210" s="12">
        <f>G210/((F210/100)*(F210/100))</f>
      </c>
      <c r="I210" s="11">
        <f>IF(H210&lt;25,0,IF(H210&lt;30,1,2))</f>
      </c>
      <c r="J210" s="13">
        <v>2</v>
      </c>
      <c r="K210" s="7" t="s">
        <v>35</v>
      </c>
      <c r="L210" s="7" t="s">
        <v>186</v>
      </c>
      <c r="M210" s="7" t="s">
        <v>185</v>
      </c>
      <c r="N210" s="7" t="s">
        <v>179</v>
      </c>
      <c r="O210" s="7" t="s">
        <v>80</v>
      </c>
      <c r="P210" s="7" t="s">
        <v>81</v>
      </c>
      <c r="Q210" s="10">
        <f>IF(P210="None of the above",0,2)</f>
      </c>
      <c r="R210" s="7" t="s">
        <v>56</v>
      </c>
      <c r="S210" s="15" t="s">
        <v>48</v>
      </c>
      <c r="T210" s="7" t="s">
        <v>99</v>
      </c>
      <c r="U210" s="10">
        <f>IF(T210="Heavy physical",0,IF(T210="Moderate activity",1,2))</f>
      </c>
      <c r="V210" s="5" t="s">
        <v>57</v>
      </c>
      <c r="W210" s="10">
        <f>IF(V210="7–8 hours",0,IF(V210="6–7 hours",1,2))</f>
      </c>
      <c r="X210" s="7" t="s">
        <v>45</v>
      </c>
      <c r="Y210" s="15" t="s">
        <v>64</v>
      </c>
      <c r="Z210" s="7" t="s">
        <v>45</v>
      </c>
      <c r="AA210" s="7" t="s">
        <v>42</v>
      </c>
      <c r="AB210" s="7" t="s">
        <v>42</v>
      </c>
      <c r="AC210" s="7" t="s">
        <v>48</v>
      </c>
      <c r="AD210" s="10">
        <f>I210 + Q210 + U210 + W210</f>
      </c>
      <c r="AE210" s="10">
        <f>IF(AD210&lt;=2,0,IF(AD210&lt;=5,1,2))</f>
      </c>
      <c r="AF210" s="7"/>
    </row>
    <row x14ac:dyDescent="0.25" r="211" customHeight="1" ht="17.25" hidden="1">
      <c r="A211" s="7" t="s">
        <v>31</v>
      </c>
      <c r="B211" s="7" t="s">
        <v>66</v>
      </c>
      <c r="C211" s="7" t="s">
        <v>33</v>
      </c>
      <c r="D211" s="10">
        <v>3</v>
      </c>
      <c r="E211" s="7" t="s">
        <v>34</v>
      </c>
      <c r="F211" s="10">
        <v>193</v>
      </c>
      <c r="G211" s="11">
        <v>114</v>
      </c>
      <c r="H211" s="12">
        <f>G211/((F211/100)*(F211/100))</f>
      </c>
      <c r="I211" s="11">
        <f>IF(H211&lt;25,0,IF(H211&lt;30,1,2))</f>
      </c>
      <c r="J211" s="13">
        <v>3</v>
      </c>
      <c r="K211" s="7" t="s">
        <v>105</v>
      </c>
      <c r="L211" s="7" t="s">
        <v>187</v>
      </c>
      <c r="M211" s="7" t="s">
        <v>54</v>
      </c>
      <c r="N211" s="7" t="s">
        <v>179</v>
      </c>
      <c r="O211" s="7" t="s">
        <v>68</v>
      </c>
      <c r="P211" s="15" t="s">
        <v>132</v>
      </c>
      <c r="Q211" s="10">
        <f>IF(P211="None of the above",0,2)</f>
      </c>
      <c r="R211" s="15" t="s">
        <v>56</v>
      </c>
      <c r="S211" s="7" t="s">
        <v>42</v>
      </c>
      <c r="T211" s="7" t="s">
        <v>96</v>
      </c>
      <c r="U211" s="10">
        <f>IF(T211="Heavy physical",0,IF(T211="Moderate activity",1,2))</f>
      </c>
      <c r="V211" s="5" t="s">
        <v>57</v>
      </c>
      <c r="W211" s="10">
        <f>IF(V211="7–8 hours",0,IF(V211="6–7 hours",1,2))</f>
      </c>
      <c r="X211" s="7" t="s">
        <v>70</v>
      </c>
      <c r="Y211" s="7" t="s">
        <v>58</v>
      </c>
      <c r="Z211" s="7" t="s">
        <v>45</v>
      </c>
      <c r="AA211" s="7" t="s">
        <v>42</v>
      </c>
      <c r="AB211" s="7" t="s">
        <v>48</v>
      </c>
      <c r="AC211" s="7" t="s">
        <v>48</v>
      </c>
      <c r="AD211" s="10">
        <f>I211 + Q211 + U211 + W211</f>
      </c>
      <c r="AE211" s="10">
        <f>IF(AD211&lt;=2,0,IF(AD211&lt;=5,1,2))</f>
      </c>
      <c r="AF211" s="7"/>
    </row>
    <row x14ac:dyDescent="0.25" r="212" customHeight="1" ht="17.25" hidden="1">
      <c r="A212" s="7" t="s">
        <v>188</v>
      </c>
      <c r="B212" s="7" t="s">
        <v>71</v>
      </c>
      <c r="C212" s="7" t="s">
        <v>33</v>
      </c>
      <c r="D212" s="10">
        <v>4</v>
      </c>
      <c r="E212" s="7" t="s">
        <v>34</v>
      </c>
      <c r="F212" s="10">
        <v>163</v>
      </c>
      <c r="G212" s="11">
        <v>70</v>
      </c>
      <c r="H212" s="12">
        <f>G212/((F212/100)*(F212/100))</f>
      </c>
      <c r="I212" s="11">
        <f>IF(H212&lt;25,0,IF(H212&lt;30,1,2))</f>
      </c>
      <c r="J212" s="13">
        <v>1</v>
      </c>
      <c r="K212" s="7" t="s">
        <v>61</v>
      </c>
      <c r="L212" s="7" t="s">
        <v>139</v>
      </c>
      <c r="M212" s="7" t="s">
        <v>41</v>
      </c>
      <c r="N212" s="7" t="s">
        <v>179</v>
      </c>
      <c r="O212" s="7" t="s">
        <v>39</v>
      </c>
      <c r="P212" s="7" t="s">
        <v>40</v>
      </c>
      <c r="Q212" s="10">
        <f>IF(P212="None of the above",0,2)</f>
      </c>
      <c r="R212" s="7" t="s">
        <v>56</v>
      </c>
      <c r="S212" s="15" t="s">
        <v>48</v>
      </c>
      <c r="T212" s="7" t="s">
        <v>96</v>
      </c>
      <c r="U212" s="10">
        <f>IF(T212="Heavy physical",0,IF(T212="Moderate activity",1,2))</f>
      </c>
      <c r="V212" s="5" t="s">
        <v>69</v>
      </c>
      <c r="W212" s="10">
        <f>IF(V212="7–8 hours",0,IF(V212="6–7 hours",1,2))</f>
      </c>
      <c r="X212" s="7" t="s">
        <v>70</v>
      </c>
      <c r="Y212" s="15" t="s">
        <v>64</v>
      </c>
      <c r="Z212" s="7" t="s">
        <v>92</v>
      </c>
      <c r="AA212" s="7" t="s">
        <v>42</v>
      </c>
      <c r="AB212" s="7" t="s">
        <v>42</v>
      </c>
      <c r="AC212" s="7" t="s">
        <v>48</v>
      </c>
      <c r="AD212" s="10">
        <f>I212 + Q212 + U212 + W212</f>
      </c>
      <c r="AE212" s="10">
        <f>IF(AD212&lt;=2,0,IF(AD212&lt;=5,1,2))</f>
      </c>
      <c r="AF212" s="7"/>
    </row>
    <row x14ac:dyDescent="0.25" r="213" customHeight="1" ht="17.25" hidden="1">
      <c r="A213" s="7" t="s">
        <v>31</v>
      </c>
      <c r="B213" s="7" t="s">
        <v>32</v>
      </c>
      <c r="C213" s="7" t="s">
        <v>33</v>
      </c>
      <c r="D213" s="10">
        <v>7</v>
      </c>
      <c r="E213" s="7" t="s">
        <v>34</v>
      </c>
      <c r="F213" s="10">
        <v>160</v>
      </c>
      <c r="G213" s="11">
        <v>52</v>
      </c>
      <c r="H213" s="12">
        <f>G213/((F213/100)*(F213/100))</f>
      </c>
      <c r="I213" s="11">
        <f>IF(H213&lt;25,0,IF(H213&lt;30,1,2))</f>
      </c>
      <c r="J213" s="13">
        <v>3</v>
      </c>
      <c r="K213" s="7" t="s">
        <v>35</v>
      </c>
      <c r="L213" s="7" t="s">
        <v>79</v>
      </c>
      <c r="M213" s="7" t="s">
        <v>41</v>
      </c>
      <c r="N213" s="7" t="s">
        <v>179</v>
      </c>
      <c r="O213" s="7" t="s">
        <v>68</v>
      </c>
      <c r="P213" s="7" t="s">
        <v>40</v>
      </c>
      <c r="Q213" s="10">
        <f>IF(P213="None of the above",0,2)</f>
      </c>
      <c r="R213" s="15" t="s">
        <v>56</v>
      </c>
      <c r="S213" s="15" t="s">
        <v>48</v>
      </c>
      <c r="T213" s="7" t="s">
        <v>96</v>
      </c>
      <c r="U213" s="10">
        <f>IF(T213="Heavy physical",0,IF(T213="Moderate activity",1,2))</f>
      </c>
      <c r="V213" s="5" t="s">
        <v>44</v>
      </c>
      <c r="W213" s="10">
        <f>IF(V213="7–8 hours",0,IF(V213="6–7 hours",1,2))</f>
      </c>
      <c r="X213" s="7" t="s">
        <v>70</v>
      </c>
      <c r="Y213" s="7" t="s">
        <v>75</v>
      </c>
      <c r="Z213" s="7" t="s">
        <v>47</v>
      </c>
      <c r="AA213" s="7" t="s">
        <v>42</v>
      </c>
      <c r="AB213" s="7" t="s">
        <v>48</v>
      </c>
      <c r="AC213" s="7" t="s">
        <v>48</v>
      </c>
      <c r="AD213" s="10">
        <f>I213 + Q213 + U213 + W213</f>
      </c>
      <c r="AE213" s="10">
        <f>IF(AD213&lt;=2,0,IF(AD213&lt;=5,1,2))</f>
      </c>
      <c r="AF213" s="7"/>
    </row>
    <row x14ac:dyDescent="0.25" r="214" customHeight="1" ht="17.25" hidden="1">
      <c r="A214" s="7" t="s">
        <v>49</v>
      </c>
      <c r="B214" s="7" t="s">
        <v>71</v>
      </c>
      <c r="C214" s="7" t="s">
        <v>33</v>
      </c>
      <c r="D214" s="10">
        <v>8</v>
      </c>
      <c r="E214" s="7" t="s">
        <v>34</v>
      </c>
      <c r="F214" s="10">
        <v>183</v>
      </c>
      <c r="G214" s="11">
        <v>71</v>
      </c>
      <c r="H214" s="12">
        <f>G214/((F214/100)*(F214/100))</f>
      </c>
      <c r="I214" s="11">
        <f>IF(H214&lt;25,0,IF(H214&lt;30,1,2))</f>
      </c>
      <c r="J214" s="13">
        <v>3</v>
      </c>
      <c r="K214" s="7" t="s">
        <v>52</v>
      </c>
      <c r="L214" s="7" t="s">
        <v>189</v>
      </c>
      <c r="M214" s="7" t="s">
        <v>54</v>
      </c>
      <c r="N214" s="7" t="s">
        <v>179</v>
      </c>
      <c r="O214" s="7" t="s">
        <v>68</v>
      </c>
      <c r="P214" s="7" t="s">
        <v>40</v>
      </c>
      <c r="Q214" s="10">
        <f>IF(P214="None of the above",0,2)</f>
      </c>
      <c r="R214" s="15" t="s">
        <v>56</v>
      </c>
      <c r="S214" s="7" t="s">
        <v>42</v>
      </c>
      <c r="T214" s="7" t="s">
        <v>96</v>
      </c>
      <c r="U214" s="10">
        <f>IF(T214="Heavy physical",0,IF(T214="Moderate activity",1,2))</f>
      </c>
      <c r="V214" s="5" t="s">
        <v>44</v>
      </c>
      <c r="W214" s="10">
        <f>IF(V214="7–8 hours",0,IF(V214="6–7 hours",1,2))</f>
      </c>
      <c r="X214" s="7" t="s">
        <v>102</v>
      </c>
      <c r="Y214" s="15" t="s">
        <v>64</v>
      </c>
      <c r="Z214" s="7" t="s">
        <v>65</v>
      </c>
      <c r="AA214" s="7" t="s">
        <v>42</v>
      </c>
      <c r="AB214" s="7" t="s">
        <v>48</v>
      </c>
      <c r="AC214" s="7" t="s">
        <v>48</v>
      </c>
      <c r="AD214" s="10">
        <f>I214 + Q214 + U214 + W214</f>
      </c>
      <c r="AE214" s="10">
        <f>IF(AD214&lt;=2,0,IF(AD214&lt;=5,1,2))</f>
      </c>
      <c r="AF214" s="7"/>
    </row>
    <row x14ac:dyDescent="0.25" r="215" customHeight="1" ht="17.25" hidden="1">
      <c r="A215" s="7" t="s">
        <v>49</v>
      </c>
      <c r="B215" s="7" t="s">
        <v>84</v>
      </c>
      <c r="C215" s="7" t="s">
        <v>33</v>
      </c>
      <c r="D215" s="10">
        <v>1</v>
      </c>
      <c r="E215" s="7" t="s">
        <v>51</v>
      </c>
      <c r="F215" s="10">
        <v>196</v>
      </c>
      <c r="G215" s="11">
        <v>100</v>
      </c>
      <c r="H215" s="12">
        <f>G215/((F215/100)*(F215/100))</f>
      </c>
      <c r="I215" s="11">
        <f>IF(H215&lt;25,0,IF(H215&lt;30,1,2))</f>
      </c>
      <c r="J215" s="13">
        <v>2</v>
      </c>
      <c r="K215" s="7" t="s">
        <v>61</v>
      </c>
      <c r="L215" s="7" t="s">
        <v>123</v>
      </c>
      <c r="M215" s="7" t="s">
        <v>41</v>
      </c>
      <c r="N215" s="7" t="s">
        <v>179</v>
      </c>
      <c r="O215" s="7" t="s">
        <v>63</v>
      </c>
      <c r="P215" s="7" t="s">
        <v>40</v>
      </c>
      <c r="Q215" s="10">
        <f>IF(P215="None of the above",0,2)</f>
      </c>
      <c r="R215" s="7" t="s">
        <v>56</v>
      </c>
      <c r="S215" s="15" t="s">
        <v>48</v>
      </c>
      <c r="T215" s="7" t="s">
        <v>99</v>
      </c>
      <c r="U215" s="10">
        <f>IF(T215="Heavy physical",0,IF(T215="Moderate activity",1,2))</f>
      </c>
      <c r="V215" s="5" t="s">
        <v>69</v>
      </c>
      <c r="W215" s="10">
        <f>IF(V215="7–8 hours",0,IF(V215="6–7 hours",1,2))</f>
      </c>
      <c r="X215" s="7" t="s">
        <v>83</v>
      </c>
      <c r="Y215" s="7" t="s">
        <v>190</v>
      </c>
      <c r="Z215" s="7" t="s">
        <v>47</v>
      </c>
      <c r="AA215" s="7" t="s">
        <v>42</v>
      </c>
      <c r="AB215" s="7" t="s">
        <v>42</v>
      </c>
      <c r="AC215" s="7" t="s">
        <v>42</v>
      </c>
      <c r="AD215" s="10">
        <f>I215 + Q215 + U215 + W215</f>
      </c>
      <c r="AE215" s="10">
        <f>IF(AD215&lt;=2,0,IF(AD215&lt;=5,1,2))</f>
      </c>
      <c r="AF215" s="7"/>
    </row>
    <row x14ac:dyDescent="0.25" r="216" customHeight="1" ht="17.25" hidden="1">
      <c r="A216" s="7" t="s">
        <v>76</v>
      </c>
      <c r="B216" s="7" t="s">
        <v>66</v>
      </c>
      <c r="C216" s="7" t="s">
        <v>33</v>
      </c>
      <c r="D216" s="10">
        <v>2</v>
      </c>
      <c r="E216" s="7" t="s">
        <v>34</v>
      </c>
      <c r="F216" s="10">
        <v>174</v>
      </c>
      <c r="G216" s="11">
        <v>78</v>
      </c>
      <c r="H216" s="12">
        <f>G216/((F216/100)*(F216/100))</f>
      </c>
      <c r="I216" s="11">
        <f>IF(H216&lt;25,0,IF(H216&lt;30,1,2))</f>
      </c>
      <c r="J216" s="13">
        <v>3</v>
      </c>
      <c r="K216" s="7" t="s">
        <v>72</v>
      </c>
      <c r="L216" s="7" t="s">
        <v>191</v>
      </c>
      <c r="M216" s="7" t="s">
        <v>54</v>
      </c>
      <c r="N216" s="7" t="s">
        <v>179</v>
      </c>
      <c r="O216" s="7" t="s">
        <v>80</v>
      </c>
      <c r="P216" s="7" t="s">
        <v>81</v>
      </c>
      <c r="Q216" s="10">
        <f>IF(P216="None of the above",0,2)</f>
      </c>
      <c r="R216" s="7" t="s">
        <v>56</v>
      </c>
      <c r="S216" s="7" t="s">
        <v>42</v>
      </c>
      <c r="T216" s="7" t="s">
        <v>96</v>
      </c>
      <c r="U216" s="10">
        <f>IF(T216="Heavy physical",0,IF(T216="Moderate activity",1,2))</f>
      </c>
      <c r="V216" s="5" t="s">
        <v>97</v>
      </c>
      <c r="W216" s="10">
        <f>IF(V216="7–8 hours",0,IF(V216="6–7 hours",1,2))</f>
      </c>
      <c r="X216" s="7" t="s">
        <v>45</v>
      </c>
      <c r="Y216" s="7" t="s">
        <v>190</v>
      </c>
      <c r="Z216" s="7" t="s">
        <v>47</v>
      </c>
      <c r="AA216" s="7" t="s">
        <v>42</v>
      </c>
      <c r="AB216" s="7" t="s">
        <v>48</v>
      </c>
      <c r="AC216" s="7" t="s">
        <v>42</v>
      </c>
      <c r="AD216" s="10">
        <f>I216 + Q216 + U216 + W216</f>
      </c>
      <c r="AE216" s="10">
        <f>IF(AD216&lt;=2,0,IF(AD216&lt;=5,1,2))</f>
      </c>
      <c r="AF216" s="7"/>
    </row>
    <row x14ac:dyDescent="0.25" r="217" customHeight="1" ht="17.25" hidden="1">
      <c r="A217" s="7" t="s">
        <v>31</v>
      </c>
      <c r="B217" s="7" t="s">
        <v>32</v>
      </c>
      <c r="C217" s="7" t="s">
        <v>33</v>
      </c>
      <c r="D217" s="10">
        <v>2</v>
      </c>
      <c r="E217" s="7" t="s">
        <v>34</v>
      </c>
      <c r="F217" s="10">
        <v>186</v>
      </c>
      <c r="G217" s="11">
        <v>112</v>
      </c>
      <c r="H217" s="12">
        <f>G217/((F217/100)*(F217/100))</f>
      </c>
      <c r="I217" s="11">
        <f>IF(H217&lt;25,0,IF(H217&lt;30,1,2))</f>
      </c>
      <c r="J217" s="13">
        <v>3</v>
      </c>
      <c r="K217" s="7" t="s">
        <v>105</v>
      </c>
      <c r="L217" s="7" t="s">
        <v>108</v>
      </c>
      <c r="M217" s="7" t="s">
        <v>41</v>
      </c>
      <c r="N217" s="7" t="s">
        <v>179</v>
      </c>
      <c r="O217" s="7" t="s">
        <v>68</v>
      </c>
      <c r="P217" s="7" t="s">
        <v>40</v>
      </c>
      <c r="Q217" s="10">
        <f>IF(P217="None of the above",0,2)</f>
      </c>
      <c r="R217" s="7" t="s">
        <v>56</v>
      </c>
      <c r="S217" s="15" t="s">
        <v>48</v>
      </c>
      <c r="T217" s="7" t="s">
        <v>96</v>
      </c>
      <c r="U217" s="10">
        <f>IF(T217="Heavy physical",0,IF(T217="Moderate activity",1,2))</f>
      </c>
      <c r="V217" s="5" t="s">
        <v>44</v>
      </c>
      <c r="W217" s="10">
        <f>IF(V217="7–8 hours",0,IF(V217="6–7 hours",1,2))</f>
      </c>
      <c r="X217" s="7" t="s">
        <v>45</v>
      </c>
      <c r="Y217" s="7" t="s">
        <v>58</v>
      </c>
      <c r="Z217" s="7" t="s">
        <v>92</v>
      </c>
      <c r="AA217" s="7" t="s">
        <v>42</v>
      </c>
      <c r="AB217" s="7" t="s">
        <v>42</v>
      </c>
      <c r="AC217" s="7" t="s">
        <v>48</v>
      </c>
      <c r="AD217" s="10">
        <f>I217 + Q217 + U217 + W217</f>
      </c>
      <c r="AE217" s="10">
        <f>IF(AD217&lt;=2,0,IF(AD217&lt;=5,1,2))</f>
      </c>
      <c r="AF217" s="7"/>
    </row>
    <row x14ac:dyDescent="0.25" r="218" customHeight="1" ht="17.25" hidden="1">
      <c r="A218" s="7" t="s">
        <v>31</v>
      </c>
      <c r="B218" s="7" t="s">
        <v>93</v>
      </c>
      <c r="C218" s="7" t="s">
        <v>33</v>
      </c>
      <c r="D218" s="10">
        <v>3</v>
      </c>
      <c r="E218" s="7" t="s">
        <v>34</v>
      </c>
      <c r="F218" s="10">
        <v>154</v>
      </c>
      <c r="G218" s="11">
        <v>91</v>
      </c>
      <c r="H218" s="12">
        <f>G218/((F218/100)*(F218/100))</f>
      </c>
      <c r="I218" s="11">
        <f>IF(H218&lt;25,0,IF(H218&lt;30,1,2))</f>
      </c>
      <c r="J218" s="13">
        <v>1</v>
      </c>
      <c r="K218" s="7" t="s">
        <v>61</v>
      </c>
      <c r="L218" s="7" t="s">
        <v>129</v>
      </c>
      <c r="M218" s="7" t="s">
        <v>185</v>
      </c>
      <c r="N218" s="7" t="s">
        <v>179</v>
      </c>
      <c r="O218" s="7" t="s">
        <v>68</v>
      </c>
      <c r="P218" s="7" t="s">
        <v>81</v>
      </c>
      <c r="Q218" s="10">
        <f>IF(P218="None of the above",0,2)</f>
      </c>
      <c r="R218" s="7" t="s">
        <v>56</v>
      </c>
      <c r="S218" s="15" t="s">
        <v>48</v>
      </c>
      <c r="T218" s="7" t="s">
        <v>96</v>
      </c>
      <c r="U218" s="10">
        <f>IF(T218="Heavy physical",0,IF(T218="Moderate activity",1,2))</f>
      </c>
      <c r="V218" s="5" t="s">
        <v>97</v>
      </c>
      <c r="W218" s="10">
        <f>IF(V218="7–8 hours",0,IF(V218="6–7 hours",1,2))</f>
      </c>
      <c r="X218" s="7" t="s">
        <v>45</v>
      </c>
      <c r="Y218" s="15" t="s">
        <v>64</v>
      </c>
      <c r="Z218" s="7" t="s">
        <v>45</v>
      </c>
      <c r="AA218" s="7" t="s">
        <v>42</v>
      </c>
      <c r="AB218" s="7" t="s">
        <v>48</v>
      </c>
      <c r="AC218" s="7" t="s">
        <v>42</v>
      </c>
      <c r="AD218" s="10">
        <f>I218 + Q218 + U218 + W218</f>
      </c>
      <c r="AE218" s="10">
        <f>IF(AD218&lt;=2,0,IF(AD218&lt;=5,1,2))</f>
      </c>
      <c r="AF218" s="7"/>
    </row>
    <row x14ac:dyDescent="0.25" r="219" customHeight="1" ht="17.25" hidden="1">
      <c r="A219" s="7" t="s">
        <v>76</v>
      </c>
      <c r="B219" s="7" t="s">
        <v>84</v>
      </c>
      <c r="C219" s="7" t="s">
        <v>120</v>
      </c>
      <c r="D219" s="10">
        <v>4</v>
      </c>
      <c r="E219" s="7" t="s">
        <v>34</v>
      </c>
      <c r="F219" s="10">
        <v>150</v>
      </c>
      <c r="G219" s="11">
        <v>49</v>
      </c>
      <c r="H219" s="12">
        <f>G219/((F219/100)*(F219/100))</f>
      </c>
      <c r="I219" s="11">
        <f>IF(H219&lt;25,0,IF(H219&lt;30,1,2))</f>
      </c>
      <c r="J219" s="13">
        <v>3</v>
      </c>
      <c r="K219" s="7" t="s">
        <v>72</v>
      </c>
      <c r="L219" s="7" t="s">
        <v>129</v>
      </c>
      <c r="M219" s="7" t="s">
        <v>185</v>
      </c>
      <c r="N219" s="7" t="s">
        <v>179</v>
      </c>
      <c r="O219" s="7" t="s">
        <v>63</v>
      </c>
      <c r="P219" s="7" t="s">
        <v>81</v>
      </c>
      <c r="Q219" s="10">
        <f>IF(P219="None of the above",0,2)</f>
      </c>
      <c r="R219" s="7" t="s">
        <v>56</v>
      </c>
      <c r="S219" s="7" t="s">
        <v>42</v>
      </c>
      <c r="T219" s="7" t="s">
        <v>96</v>
      </c>
      <c r="U219" s="10">
        <f>IF(T219="Heavy physical",0,IF(T219="Moderate activity",1,2))</f>
      </c>
      <c r="V219" s="5" t="s">
        <v>69</v>
      </c>
      <c r="W219" s="10">
        <f>IF(V219="7–8 hours",0,IF(V219="6–7 hours",1,2))</f>
      </c>
      <c r="X219" s="7" t="s">
        <v>102</v>
      </c>
      <c r="Y219" s="7" t="s">
        <v>58</v>
      </c>
      <c r="Z219" s="7" t="s">
        <v>65</v>
      </c>
      <c r="AA219" s="7" t="s">
        <v>48</v>
      </c>
      <c r="AB219" s="7" t="s">
        <v>48</v>
      </c>
      <c r="AC219" s="7" t="s">
        <v>42</v>
      </c>
      <c r="AD219" s="10">
        <f>I219 + Q219 + U219 + W219</f>
      </c>
      <c r="AE219" s="10">
        <f>IF(AD219&lt;=2,0,IF(AD219&lt;=5,1,2))</f>
      </c>
      <c r="AF219" s="7"/>
    </row>
    <row x14ac:dyDescent="0.25" r="220" customHeight="1" ht="17.25" hidden="1">
      <c r="A220" s="7" t="s">
        <v>192</v>
      </c>
      <c r="B220" s="7" t="s">
        <v>77</v>
      </c>
      <c r="C220" s="7" t="s">
        <v>122</v>
      </c>
      <c r="D220" s="10">
        <v>5</v>
      </c>
      <c r="E220" s="7" t="s">
        <v>51</v>
      </c>
      <c r="F220" s="10">
        <v>182</v>
      </c>
      <c r="G220" s="11">
        <v>72</v>
      </c>
      <c r="H220" s="12">
        <f>G220/((F220/100)*(F220/100))</f>
      </c>
      <c r="I220" s="11">
        <f>IF(H220&lt;25,0,IF(H220&lt;30,1,2))</f>
      </c>
      <c r="J220" s="13">
        <v>3</v>
      </c>
      <c r="K220" s="7" t="s">
        <v>52</v>
      </c>
      <c r="L220" s="7" t="s">
        <v>193</v>
      </c>
      <c r="M220" s="7" t="s">
        <v>54</v>
      </c>
      <c r="N220" s="7" t="s">
        <v>179</v>
      </c>
      <c r="O220" s="7" t="s">
        <v>74</v>
      </c>
      <c r="P220" s="7" t="s">
        <v>40</v>
      </c>
      <c r="Q220" s="10">
        <f>IF(P220="None of the above",0,2)</f>
      </c>
      <c r="R220" s="7" t="s">
        <v>56</v>
      </c>
      <c r="S220" s="7" t="s">
        <v>42</v>
      </c>
      <c r="T220" s="7" t="s">
        <v>96</v>
      </c>
      <c r="U220" s="10">
        <f>IF(T220="Heavy physical",0,IF(T220="Moderate activity",1,2))</f>
      </c>
      <c r="V220" s="5" t="s">
        <v>57</v>
      </c>
      <c r="W220" s="10">
        <f>IF(V220="7–8 hours",0,IF(V220="6–7 hours",1,2))</f>
      </c>
      <c r="X220" s="7" t="s">
        <v>83</v>
      </c>
      <c r="Y220" s="7" t="s">
        <v>75</v>
      </c>
      <c r="Z220" s="7" t="s">
        <v>65</v>
      </c>
      <c r="AA220" s="7" t="s">
        <v>42</v>
      </c>
      <c r="AB220" s="7" t="s">
        <v>42</v>
      </c>
      <c r="AC220" s="7" t="s">
        <v>42</v>
      </c>
      <c r="AD220" s="10">
        <f>I220 + Q220 + U220 + W220</f>
      </c>
      <c r="AE220" s="10">
        <f>IF(AD220&lt;=2,0,IF(AD220&lt;=5,1,2))</f>
      </c>
      <c r="AF220" s="7"/>
    </row>
    <row x14ac:dyDescent="0.25" r="221" customHeight="1" ht="17.25" hidden="1">
      <c r="A221" s="7" t="s">
        <v>76</v>
      </c>
      <c r="B221" s="7" t="s">
        <v>32</v>
      </c>
      <c r="C221" s="7" t="s">
        <v>50</v>
      </c>
      <c r="D221" s="10">
        <v>1</v>
      </c>
      <c r="E221" s="7" t="s">
        <v>34</v>
      </c>
      <c r="F221" s="10">
        <v>162</v>
      </c>
      <c r="G221" s="11">
        <v>48</v>
      </c>
      <c r="H221" s="12">
        <f>G221/((F221/100)*(F221/100))</f>
      </c>
      <c r="I221" s="11">
        <f>IF(H221&lt;25,0,IF(H221&lt;30,1,2))</f>
      </c>
      <c r="J221" s="13">
        <v>3</v>
      </c>
      <c r="K221" s="7" t="s">
        <v>72</v>
      </c>
      <c r="L221" s="7" t="s">
        <v>152</v>
      </c>
      <c r="M221" s="7" t="s">
        <v>54</v>
      </c>
      <c r="N221" s="7" t="s">
        <v>179</v>
      </c>
      <c r="O221" s="7" t="s">
        <v>68</v>
      </c>
      <c r="P221" s="7" t="s">
        <v>81</v>
      </c>
      <c r="Q221" s="10">
        <f>IF(P221="None of the above",0,2)</f>
      </c>
      <c r="R221" s="7" t="s">
        <v>89</v>
      </c>
      <c r="S221" s="7" t="s">
        <v>42</v>
      </c>
      <c r="T221" s="7" t="s">
        <v>99</v>
      </c>
      <c r="U221" s="10">
        <f>IF(T221="Heavy physical",0,IF(T221="Moderate activity",1,2))</f>
      </c>
      <c r="V221" s="5" t="s">
        <v>57</v>
      </c>
      <c r="W221" s="10">
        <f>IF(V221="7–8 hours",0,IF(V221="6–7 hours",1,2))</f>
      </c>
      <c r="X221" s="7" t="s">
        <v>102</v>
      </c>
      <c r="Y221" s="7" t="s">
        <v>75</v>
      </c>
      <c r="Z221" s="7" t="s">
        <v>92</v>
      </c>
      <c r="AA221" s="7" t="s">
        <v>42</v>
      </c>
      <c r="AB221" s="7" t="s">
        <v>42</v>
      </c>
      <c r="AC221" s="7" t="s">
        <v>48</v>
      </c>
      <c r="AD221" s="10">
        <f>I221 + Q221 + U221 + W221</f>
      </c>
      <c r="AE221" s="10">
        <f>IF(AD221&lt;=2,0,IF(AD221&lt;=5,1,2))</f>
      </c>
      <c r="AF221" s="7"/>
    </row>
    <row x14ac:dyDescent="0.25" r="222" customHeight="1" ht="17.25" hidden="1">
      <c r="A222" s="7" t="s">
        <v>49</v>
      </c>
      <c r="B222" s="7" t="s">
        <v>71</v>
      </c>
      <c r="C222" s="7"/>
      <c r="D222" s="10">
        <v>4</v>
      </c>
      <c r="E222" s="7" t="s">
        <v>34</v>
      </c>
      <c r="F222" s="10">
        <v>183</v>
      </c>
      <c r="G222" s="11">
        <v>59</v>
      </c>
      <c r="H222" s="12">
        <f>G222/((F222/100)*(F222/100))</f>
      </c>
      <c r="I222" s="11">
        <f>IF(H222&lt;25,0,IF(H222&lt;30,1,2))</f>
      </c>
      <c r="J222" s="13">
        <v>1</v>
      </c>
      <c r="K222" s="7" t="s">
        <v>72</v>
      </c>
      <c r="L222" s="7" t="s">
        <v>94</v>
      </c>
      <c r="M222" s="7" t="s">
        <v>185</v>
      </c>
      <c r="N222" s="7" t="s">
        <v>179</v>
      </c>
      <c r="O222" s="7" t="s">
        <v>68</v>
      </c>
      <c r="P222" s="15" t="s">
        <v>132</v>
      </c>
      <c r="Q222" s="10">
        <f>IF(P222="None of the above",0,2)</f>
      </c>
      <c r="R222" s="15" t="s">
        <v>56</v>
      </c>
      <c r="S222" s="7" t="s">
        <v>42</v>
      </c>
      <c r="T222" s="7" t="s">
        <v>96</v>
      </c>
      <c r="U222" s="10">
        <f>IF(T222="Heavy physical",0,IF(T222="Moderate activity",1,2))</f>
      </c>
      <c r="V222" s="5" t="s">
        <v>97</v>
      </c>
      <c r="W222" s="10">
        <f>IF(V222="7–8 hours",0,IF(V222="6–7 hours",1,2))</f>
      </c>
      <c r="X222" s="7" t="s">
        <v>102</v>
      </c>
      <c r="Y222" s="7" t="s">
        <v>75</v>
      </c>
      <c r="Z222" s="7" t="s">
        <v>45</v>
      </c>
      <c r="AA222" s="7" t="s">
        <v>48</v>
      </c>
      <c r="AB222" s="7" t="s">
        <v>42</v>
      </c>
      <c r="AC222" s="7" t="s">
        <v>48</v>
      </c>
      <c r="AD222" s="10">
        <f>I222 + Q222 + U222 + W222</f>
      </c>
      <c r="AE222" s="10">
        <f>IF(AD222&lt;=2,0,IF(AD222&lt;=5,1,2))</f>
      </c>
      <c r="AF222" s="7"/>
    </row>
    <row x14ac:dyDescent="0.25" r="223" customHeight="1" ht="17.25" hidden="1">
      <c r="A223" s="7" t="s">
        <v>31</v>
      </c>
      <c r="B223" s="7" t="s">
        <v>77</v>
      </c>
      <c r="C223" s="7" t="s">
        <v>50</v>
      </c>
      <c r="D223" s="10">
        <v>5</v>
      </c>
      <c r="E223" s="7" t="s">
        <v>34</v>
      </c>
      <c r="F223" s="10">
        <v>166</v>
      </c>
      <c r="G223" s="11">
        <v>52</v>
      </c>
      <c r="H223" s="12">
        <f>G223/((F223/100)*(F223/100))</f>
      </c>
      <c r="I223" s="11">
        <f>IF(H223&lt;25,0,IF(H223&lt;30,1,2))</f>
      </c>
      <c r="J223" s="13">
        <v>3</v>
      </c>
      <c r="K223" s="7" t="s">
        <v>52</v>
      </c>
      <c r="L223" s="7" t="s">
        <v>107</v>
      </c>
      <c r="M223" s="7" t="s">
        <v>185</v>
      </c>
      <c r="N223" s="7" t="s">
        <v>179</v>
      </c>
      <c r="O223" s="7" t="s">
        <v>68</v>
      </c>
      <c r="P223" s="7" t="s">
        <v>81</v>
      </c>
      <c r="Q223" s="10">
        <f>IF(P223="None of the above",0,2)</f>
      </c>
      <c r="R223" s="7" t="s">
        <v>56</v>
      </c>
      <c r="S223" s="7" t="s">
        <v>42</v>
      </c>
      <c r="T223" s="7" t="s">
        <v>99</v>
      </c>
      <c r="U223" s="10">
        <f>IF(T223="Heavy physical",0,IF(T223="Moderate activity",1,2))</f>
      </c>
      <c r="V223" s="5" t="s">
        <v>44</v>
      </c>
      <c r="W223" s="10">
        <f>IF(V223="7–8 hours",0,IF(V223="6–7 hours",1,2))</f>
      </c>
      <c r="X223" s="7" t="s">
        <v>83</v>
      </c>
      <c r="Y223" s="7" t="s">
        <v>58</v>
      </c>
      <c r="Z223" s="7" t="s">
        <v>45</v>
      </c>
      <c r="AA223" s="7" t="s">
        <v>48</v>
      </c>
      <c r="AB223" s="7" t="s">
        <v>42</v>
      </c>
      <c r="AC223" s="7" t="s">
        <v>42</v>
      </c>
      <c r="AD223" s="10">
        <f>I223 + Q223 + U223 + W223</f>
      </c>
      <c r="AE223" s="10">
        <f>IF(AD223&lt;=2,0,IF(AD223&lt;=5,1,2))</f>
      </c>
      <c r="AF223" s="7"/>
    </row>
    <row x14ac:dyDescent="0.25" r="224" customHeight="1" ht="17.25" hidden="1">
      <c r="A224" s="7" t="s">
        <v>49</v>
      </c>
      <c r="B224" s="7" t="s">
        <v>59</v>
      </c>
      <c r="C224" s="7" t="s">
        <v>33</v>
      </c>
      <c r="D224" s="10">
        <v>3</v>
      </c>
      <c r="E224" s="7" t="s">
        <v>34</v>
      </c>
      <c r="F224" s="10">
        <v>157</v>
      </c>
      <c r="G224" s="11">
        <v>71</v>
      </c>
      <c r="H224" s="12">
        <f>G224/((F224/100)*(F224/100))</f>
      </c>
      <c r="I224" s="11">
        <f>IF(H224&lt;25,0,IF(H224&lt;30,1,2))</f>
      </c>
      <c r="J224" s="13">
        <v>3</v>
      </c>
      <c r="K224" s="7" t="s">
        <v>52</v>
      </c>
      <c r="L224" s="7" t="s">
        <v>67</v>
      </c>
      <c r="M224" s="7" t="s">
        <v>185</v>
      </c>
      <c r="N224" s="7" t="s">
        <v>179</v>
      </c>
      <c r="O224" s="7" t="s">
        <v>39</v>
      </c>
      <c r="P224" s="7" t="s">
        <v>81</v>
      </c>
      <c r="Q224" s="10">
        <f>IF(P224="None of the above",0,2)</f>
      </c>
      <c r="R224" s="7" t="s">
        <v>89</v>
      </c>
      <c r="S224" s="7" t="s">
        <v>42</v>
      </c>
      <c r="T224" s="7" t="s">
        <v>96</v>
      </c>
      <c r="U224" s="10">
        <f>IF(T224="Heavy physical",0,IF(T224="Moderate activity",1,2))</f>
      </c>
      <c r="V224" s="5" t="s">
        <v>44</v>
      </c>
      <c r="W224" s="10">
        <f>IF(V224="7–8 hours",0,IF(V224="6–7 hours",1,2))</f>
      </c>
      <c r="X224" s="7" t="s">
        <v>102</v>
      </c>
      <c r="Y224" s="15" t="s">
        <v>64</v>
      </c>
      <c r="Z224" s="7" t="s">
        <v>47</v>
      </c>
      <c r="AA224" s="7" t="s">
        <v>48</v>
      </c>
      <c r="AB224" s="7" t="s">
        <v>42</v>
      </c>
      <c r="AC224" s="7" t="s">
        <v>48</v>
      </c>
      <c r="AD224" s="10">
        <f>I224 + Q224 + U224 + W224</f>
      </c>
      <c r="AE224" s="10">
        <f>IF(AD224&lt;=2,0,IF(AD224&lt;=5,1,2))</f>
      </c>
      <c r="AF224" s="7"/>
    </row>
    <row x14ac:dyDescent="0.25" r="225" customHeight="1" ht="17.25" hidden="1">
      <c r="A225" s="7" t="s">
        <v>49</v>
      </c>
      <c r="B225" s="7" t="s">
        <v>84</v>
      </c>
      <c r="C225" s="7" t="s">
        <v>50</v>
      </c>
      <c r="D225" s="10">
        <v>1</v>
      </c>
      <c r="E225" s="7" t="s">
        <v>34</v>
      </c>
      <c r="F225" s="10">
        <v>171</v>
      </c>
      <c r="G225" s="11">
        <v>45</v>
      </c>
      <c r="H225" s="12">
        <f>G225/((F225/100)*(F225/100))</f>
      </c>
      <c r="I225" s="11">
        <f>IF(H225&lt;25,0,IF(H225&lt;30,1,2))</f>
      </c>
      <c r="J225" s="13">
        <v>3</v>
      </c>
      <c r="K225" s="7" t="s">
        <v>105</v>
      </c>
      <c r="L225" s="7" t="s">
        <v>103</v>
      </c>
      <c r="M225" s="7" t="s">
        <v>185</v>
      </c>
      <c r="N225" s="7" t="s">
        <v>179</v>
      </c>
      <c r="O225" s="7" t="s">
        <v>39</v>
      </c>
      <c r="P225" s="7" t="s">
        <v>40</v>
      </c>
      <c r="Q225" s="10">
        <f>IF(P225="None of the above",0,2)</f>
      </c>
      <c r="R225" s="15" t="s">
        <v>56</v>
      </c>
      <c r="S225" s="7" t="s">
        <v>42</v>
      </c>
      <c r="T225" s="7" t="s">
        <v>96</v>
      </c>
      <c r="U225" s="10">
        <f>IF(T225="Heavy physical",0,IF(T225="Moderate activity",1,2))</f>
      </c>
      <c r="V225" s="5" t="s">
        <v>69</v>
      </c>
      <c r="W225" s="10">
        <f>IF(V225="7–8 hours",0,IF(V225="6–7 hours",1,2))</f>
      </c>
      <c r="X225" s="7" t="s">
        <v>102</v>
      </c>
      <c r="Y225" s="15" t="s">
        <v>64</v>
      </c>
      <c r="Z225" s="7" t="s">
        <v>47</v>
      </c>
      <c r="AA225" s="7" t="s">
        <v>48</v>
      </c>
      <c r="AB225" s="7" t="s">
        <v>48</v>
      </c>
      <c r="AC225" s="7" t="s">
        <v>48</v>
      </c>
      <c r="AD225" s="10">
        <f>I225 + Q225 + U225 + W225</f>
      </c>
      <c r="AE225" s="10">
        <f>IF(AD225&lt;=2,0,IF(AD225&lt;=5,1,2))</f>
      </c>
      <c r="AF225" s="7"/>
    </row>
    <row x14ac:dyDescent="0.25" r="226" customHeight="1" ht="17.25" hidden="1">
      <c r="A226" s="7" t="s">
        <v>49</v>
      </c>
      <c r="B226" s="7" t="s">
        <v>84</v>
      </c>
      <c r="C226" s="7" t="s">
        <v>120</v>
      </c>
      <c r="D226" s="10">
        <v>5</v>
      </c>
      <c r="E226" s="7" t="s">
        <v>34</v>
      </c>
      <c r="F226" s="10">
        <v>169</v>
      </c>
      <c r="G226" s="11">
        <v>51</v>
      </c>
      <c r="H226" s="12">
        <f>G226/((F226/100)*(F226/100))</f>
      </c>
      <c r="I226" s="11">
        <f>IF(H226&lt;25,0,IF(H226&lt;30,1,2))</f>
      </c>
      <c r="J226" s="13">
        <v>2</v>
      </c>
      <c r="K226" s="7" t="s">
        <v>52</v>
      </c>
      <c r="L226" s="7" t="s">
        <v>194</v>
      </c>
      <c r="M226" s="7" t="s">
        <v>185</v>
      </c>
      <c r="N226" s="7" t="s">
        <v>179</v>
      </c>
      <c r="O226" s="7" t="s">
        <v>68</v>
      </c>
      <c r="P226" s="7" t="s">
        <v>81</v>
      </c>
      <c r="Q226" s="10">
        <f>IF(P226="None of the above",0,2)</f>
      </c>
      <c r="R226" s="7" t="s">
        <v>56</v>
      </c>
      <c r="S226" s="7" t="s">
        <v>42</v>
      </c>
      <c r="T226" s="7" t="s">
        <v>96</v>
      </c>
      <c r="U226" s="10">
        <f>IF(T226="Heavy physical",0,IF(T226="Moderate activity",1,2))</f>
      </c>
      <c r="V226" s="5" t="s">
        <v>57</v>
      </c>
      <c r="W226" s="10">
        <f>IF(V226="7–8 hours",0,IF(V226="6–7 hours",1,2))</f>
      </c>
      <c r="X226" s="7" t="s">
        <v>70</v>
      </c>
      <c r="Y226" s="7" t="s">
        <v>58</v>
      </c>
      <c r="Z226" s="7" t="s">
        <v>92</v>
      </c>
      <c r="AA226" s="7" t="s">
        <v>42</v>
      </c>
      <c r="AB226" s="7" t="s">
        <v>48</v>
      </c>
      <c r="AC226" s="7" t="s">
        <v>42</v>
      </c>
      <c r="AD226" s="10">
        <f>I226 + Q226 + U226 + W226</f>
      </c>
      <c r="AE226" s="10">
        <f>IF(AD226&lt;=2,0,IF(AD226&lt;=5,1,2))</f>
      </c>
      <c r="AF226" s="7"/>
    </row>
    <row x14ac:dyDescent="0.25" r="227" customHeight="1" ht="17.25" hidden="1">
      <c r="A227" s="7" t="s">
        <v>76</v>
      </c>
      <c r="B227" s="7" t="s">
        <v>93</v>
      </c>
      <c r="C227" s="7" t="s">
        <v>50</v>
      </c>
      <c r="D227" s="10">
        <v>2</v>
      </c>
      <c r="E227" s="7" t="s">
        <v>51</v>
      </c>
      <c r="F227" s="10">
        <v>196</v>
      </c>
      <c r="G227" s="11">
        <v>95</v>
      </c>
      <c r="H227" s="12">
        <f>G227/((F227/100)*(F227/100))</f>
      </c>
      <c r="I227" s="11">
        <f>IF(H227&lt;25,0,IF(H227&lt;30,1,2))</f>
      </c>
      <c r="J227" s="13">
        <v>3</v>
      </c>
      <c r="K227" s="7" t="s">
        <v>52</v>
      </c>
      <c r="L227" s="7" t="s">
        <v>146</v>
      </c>
      <c r="M227" s="7" t="s">
        <v>185</v>
      </c>
      <c r="N227" s="7" t="s">
        <v>179</v>
      </c>
      <c r="O227" s="7" t="s">
        <v>39</v>
      </c>
      <c r="P227" s="7" t="s">
        <v>81</v>
      </c>
      <c r="Q227" s="10">
        <f>IF(P227="None of the above",0,2)</f>
      </c>
      <c r="R227" s="7" t="s">
        <v>56</v>
      </c>
      <c r="S227" s="7" t="s">
        <v>42</v>
      </c>
      <c r="T227" s="7" t="s">
        <v>96</v>
      </c>
      <c r="U227" s="10">
        <f>IF(T227="Heavy physical",0,IF(T227="Moderate activity",1,2))</f>
      </c>
      <c r="V227" s="5" t="s">
        <v>57</v>
      </c>
      <c r="W227" s="10">
        <f>IF(V227="7–8 hours",0,IF(V227="6–7 hours",1,2))</f>
      </c>
      <c r="X227" s="7" t="s">
        <v>45</v>
      </c>
      <c r="Y227" s="15" t="s">
        <v>64</v>
      </c>
      <c r="Z227" s="7" t="s">
        <v>45</v>
      </c>
      <c r="AA227" s="7" t="s">
        <v>42</v>
      </c>
      <c r="AB227" s="7" t="s">
        <v>42</v>
      </c>
      <c r="AC227" s="7" t="s">
        <v>42</v>
      </c>
      <c r="AD227" s="10">
        <f>I227 + Q227 + U227 + W227</f>
      </c>
      <c r="AE227" s="10">
        <f>IF(AD227&lt;=2,0,IF(AD227&lt;=5,1,2))</f>
      </c>
      <c r="AF227" s="7"/>
    </row>
    <row x14ac:dyDescent="0.25" r="228" customHeight="1" ht="17.25" hidden="1">
      <c r="A228" s="7" t="s">
        <v>49</v>
      </c>
      <c r="B228" s="7" t="s">
        <v>71</v>
      </c>
      <c r="C228" s="7" t="s">
        <v>122</v>
      </c>
      <c r="D228" s="10">
        <v>3</v>
      </c>
      <c r="E228" s="7" t="s">
        <v>34</v>
      </c>
      <c r="F228" s="10">
        <v>182</v>
      </c>
      <c r="G228" s="11">
        <v>53</v>
      </c>
      <c r="H228" s="12">
        <f>G228/((F228/100)*(F228/100))</f>
      </c>
      <c r="I228" s="11">
        <f>IF(H228&lt;25,0,IF(H228&lt;30,1,2))</f>
      </c>
      <c r="J228" s="13">
        <v>1</v>
      </c>
      <c r="K228" s="7" t="s">
        <v>61</v>
      </c>
      <c r="L228" s="7" t="s">
        <v>124</v>
      </c>
      <c r="M228" s="7" t="s">
        <v>54</v>
      </c>
      <c r="N228" s="7" t="s">
        <v>179</v>
      </c>
      <c r="O228" s="7" t="s">
        <v>68</v>
      </c>
      <c r="P228" s="7" t="s">
        <v>81</v>
      </c>
      <c r="Q228" s="10">
        <f>IF(P228="None of the above",0,2)</f>
      </c>
      <c r="R228" s="7" t="s">
        <v>89</v>
      </c>
      <c r="S228" s="15" t="s">
        <v>48</v>
      </c>
      <c r="T228" s="7" t="s">
        <v>99</v>
      </c>
      <c r="U228" s="10">
        <f>IF(T228="Heavy physical",0,IF(T228="Moderate activity",1,2))</f>
      </c>
      <c r="V228" s="5" t="s">
        <v>97</v>
      </c>
      <c r="W228" s="10">
        <f>IF(V228="7–8 hours",0,IF(V228="6–7 hours",1,2))</f>
      </c>
      <c r="X228" s="7" t="s">
        <v>102</v>
      </c>
      <c r="Y228" s="15" t="s">
        <v>64</v>
      </c>
      <c r="Z228" s="7" t="s">
        <v>47</v>
      </c>
      <c r="AA228" s="7" t="s">
        <v>48</v>
      </c>
      <c r="AB228" s="7" t="s">
        <v>42</v>
      </c>
      <c r="AC228" s="7" t="s">
        <v>42</v>
      </c>
      <c r="AD228" s="10">
        <f>I228 + Q228 + U228 + W228</f>
      </c>
      <c r="AE228" s="10">
        <f>IF(AD228&lt;=2,0,IF(AD228&lt;=5,1,2))</f>
      </c>
      <c r="AF228" s="7"/>
    </row>
    <row x14ac:dyDescent="0.25" r="229" customHeight="1" ht="17.25" hidden="1">
      <c r="A229" s="7" t="s">
        <v>76</v>
      </c>
      <c r="B229" s="7" t="s">
        <v>59</v>
      </c>
      <c r="C229" s="7" t="s">
        <v>33</v>
      </c>
      <c r="D229" s="10">
        <v>5</v>
      </c>
      <c r="E229" s="7" t="s">
        <v>51</v>
      </c>
      <c r="F229" s="10">
        <v>176</v>
      </c>
      <c r="G229" s="11">
        <v>94</v>
      </c>
      <c r="H229" s="12">
        <f>G229/((F229/100)*(F229/100))</f>
      </c>
      <c r="I229" s="11">
        <f>IF(H229&lt;25,0,IF(H229&lt;30,1,2))</f>
      </c>
      <c r="J229" s="13">
        <v>3</v>
      </c>
      <c r="K229" s="7" t="s">
        <v>52</v>
      </c>
      <c r="L229" s="7" t="s">
        <v>195</v>
      </c>
      <c r="M229" s="7" t="s">
        <v>185</v>
      </c>
      <c r="N229" s="7" t="s">
        <v>179</v>
      </c>
      <c r="O229" s="7" t="s">
        <v>74</v>
      </c>
      <c r="P229" s="7" t="s">
        <v>81</v>
      </c>
      <c r="Q229" s="10">
        <f>IF(P229="None of the above",0,2)</f>
      </c>
      <c r="R229" s="7" t="s">
        <v>56</v>
      </c>
      <c r="S229" s="7" t="s">
        <v>42</v>
      </c>
      <c r="T229" s="7" t="s">
        <v>96</v>
      </c>
      <c r="U229" s="10">
        <f>IF(T229="Heavy physical",0,IF(T229="Moderate activity",1,2))</f>
      </c>
      <c r="V229" s="5" t="s">
        <v>44</v>
      </c>
      <c r="W229" s="10">
        <f>IF(V229="7–8 hours",0,IF(V229="6–7 hours",1,2))</f>
      </c>
      <c r="X229" s="7" t="s">
        <v>102</v>
      </c>
      <c r="Y229" s="15" t="s">
        <v>64</v>
      </c>
      <c r="Z229" s="7" t="s">
        <v>47</v>
      </c>
      <c r="AA229" s="7" t="s">
        <v>42</v>
      </c>
      <c r="AB229" s="7" t="s">
        <v>42</v>
      </c>
      <c r="AC229" s="7" t="s">
        <v>42</v>
      </c>
      <c r="AD229" s="10">
        <f>I229 + Q229 + U229 + W229</f>
      </c>
      <c r="AE229" s="10">
        <f>IF(AD229&lt;=2,0,IF(AD229&lt;=5,1,2))</f>
      </c>
      <c r="AF229" s="7"/>
    </row>
    <row x14ac:dyDescent="0.25" r="230" customHeight="1" ht="17.25" hidden="1">
      <c r="A230" s="7" t="s">
        <v>76</v>
      </c>
      <c r="B230" s="7" t="s">
        <v>84</v>
      </c>
      <c r="C230" s="7" t="s">
        <v>122</v>
      </c>
      <c r="D230" s="10">
        <v>1</v>
      </c>
      <c r="E230" s="7" t="s">
        <v>51</v>
      </c>
      <c r="F230" s="10">
        <v>157</v>
      </c>
      <c r="G230" s="11">
        <v>106</v>
      </c>
      <c r="H230" s="12">
        <f>G230/((F230/100)*(F230/100))</f>
      </c>
      <c r="I230" s="11">
        <f>IF(H230&lt;25,0,IF(H230&lt;30,1,2))</f>
      </c>
      <c r="J230" s="13">
        <v>3</v>
      </c>
      <c r="K230" s="7" t="s">
        <v>86</v>
      </c>
      <c r="L230" s="7" t="s">
        <v>152</v>
      </c>
      <c r="M230" s="7" t="s">
        <v>54</v>
      </c>
      <c r="N230" s="7" t="s">
        <v>179</v>
      </c>
      <c r="O230" s="7" t="s">
        <v>39</v>
      </c>
      <c r="P230" s="7" t="s">
        <v>40</v>
      </c>
      <c r="Q230" s="10">
        <f>IF(P230="None of the above",0,2)</f>
      </c>
      <c r="R230" s="15" t="s">
        <v>56</v>
      </c>
      <c r="S230" s="15" t="s">
        <v>48</v>
      </c>
      <c r="T230" s="7" t="s">
        <v>96</v>
      </c>
      <c r="U230" s="10">
        <f>IF(T230="Heavy physical",0,IF(T230="Moderate activity",1,2))</f>
      </c>
      <c r="V230" s="5" t="s">
        <v>97</v>
      </c>
      <c r="W230" s="10">
        <f>IF(V230="7–8 hours",0,IF(V230="6–7 hours",1,2))</f>
      </c>
      <c r="X230" s="7" t="s">
        <v>102</v>
      </c>
      <c r="Y230" s="7" t="s">
        <v>58</v>
      </c>
      <c r="Z230" s="7" t="s">
        <v>47</v>
      </c>
      <c r="AA230" s="7" t="s">
        <v>42</v>
      </c>
      <c r="AB230" s="7" t="s">
        <v>42</v>
      </c>
      <c r="AC230" s="7" t="s">
        <v>42</v>
      </c>
      <c r="AD230" s="10">
        <f>I230 + Q230 + U230 + W230</f>
      </c>
      <c r="AE230" s="10">
        <f>IF(AD230&lt;=2,0,IF(AD230&lt;=5,1,2))</f>
      </c>
      <c r="AF230" s="7"/>
    </row>
    <row x14ac:dyDescent="0.25" r="231" customHeight="1" ht="17.25" hidden="1">
      <c r="A231" s="7" t="s">
        <v>49</v>
      </c>
      <c r="B231" s="7" t="s">
        <v>59</v>
      </c>
      <c r="C231" s="7" t="s">
        <v>50</v>
      </c>
      <c r="D231" s="10">
        <v>7</v>
      </c>
      <c r="E231" s="7" t="s">
        <v>51</v>
      </c>
      <c r="F231" s="10">
        <v>195</v>
      </c>
      <c r="G231" s="11">
        <v>62</v>
      </c>
      <c r="H231" s="12">
        <f>G231/((F231/100)*(F231/100))</f>
      </c>
      <c r="I231" s="11">
        <f>IF(H231&lt;25,0,IF(H231&lt;30,1,2))</f>
      </c>
      <c r="J231" s="13">
        <v>2</v>
      </c>
      <c r="K231" s="7" t="s">
        <v>61</v>
      </c>
      <c r="L231" s="7" t="s">
        <v>129</v>
      </c>
      <c r="M231" s="7" t="s">
        <v>41</v>
      </c>
      <c r="N231" s="7" t="s">
        <v>179</v>
      </c>
      <c r="O231" s="7" t="s">
        <v>39</v>
      </c>
      <c r="P231" s="7" t="s">
        <v>81</v>
      </c>
      <c r="Q231" s="10">
        <f>IF(P231="None of the above",0,2)</f>
      </c>
      <c r="R231" s="7" t="s">
        <v>56</v>
      </c>
      <c r="S231" s="15" t="s">
        <v>48</v>
      </c>
      <c r="T231" s="7" t="s">
        <v>96</v>
      </c>
      <c r="U231" s="10">
        <f>IF(T231="Heavy physical",0,IF(T231="Moderate activity",1,2))</f>
      </c>
      <c r="V231" s="5" t="s">
        <v>57</v>
      </c>
      <c r="W231" s="10">
        <f>IF(V231="7–8 hours",0,IF(V231="6–7 hours",1,2))</f>
      </c>
      <c r="X231" s="7" t="s">
        <v>83</v>
      </c>
      <c r="Y231" s="15" t="s">
        <v>64</v>
      </c>
      <c r="Z231" s="7" t="s">
        <v>45</v>
      </c>
      <c r="AA231" s="7" t="s">
        <v>42</v>
      </c>
      <c r="AB231" s="7" t="s">
        <v>42</v>
      </c>
      <c r="AC231" s="7" t="s">
        <v>42</v>
      </c>
      <c r="AD231" s="10">
        <f>I231 + Q231 + U231 + W231</f>
      </c>
      <c r="AE231" s="10">
        <f>IF(AD231&lt;=2,0,IF(AD231&lt;=5,1,2))</f>
      </c>
      <c r="AF231" s="7"/>
    </row>
    <row x14ac:dyDescent="0.25" r="232" customHeight="1" ht="17.25" hidden="1">
      <c r="A232" s="7" t="s">
        <v>76</v>
      </c>
      <c r="B232" s="7" t="s">
        <v>84</v>
      </c>
      <c r="C232" s="7" t="s">
        <v>120</v>
      </c>
      <c r="D232" s="10">
        <v>2</v>
      </c>
      <c r="E232" s="7" t="s">
        <v>51</v>
      </c>
      <c r="F232" s="10">
        <v>186</v>
      </c>
      <c r="G232" s="11">
        <v>50</v>
      </c>
      <c r="H232" s="12">
        <f>G232/((F232/100)*(F232/100))</f>
      </c>
      <c r="I232" s="11">
        <f>IF(H232&lt;25,0,IF(H232&lt;30,1,2))</f>
      </c>
      <c r="J232" s="13">
        <v>2</v>
      </c>
      <c r="K232" s="7" t="s">
        <v>52</v>
      </c>
      <c r="L232" s="7" t="s">
        <v>129</v>
      </c>
      <c r="M232" s="7" t="s">
        <v>54</v>
      </c>
      <c r="N232" s="7" t="s">
        <v>179</v>
      </c>
      <c r="O232" s="7" t="s">
        <v>74</v>
      </c>
      <c r="P232" s="7" t="s">
        <v>81</v>
      </c>
      <c r="Q232" s="10">
        <f>IF(P232="None of the above",0,2)</f>
      </c>
      <c r="R232" s="7" t="s">
        <v>56</v>
      </c>
      <c r="S232" s="7" t="s">
        <v>42</v>
      </c>
      <c r="T232" s="7" t="s">
        <v>96</v>
      </c>
      <c r="U232" s="10">
        <f>IF(T232="Heavy physical",0,IF(T232="Moderate activity",1,2))</f>
      </c>
      <c r="V232" s="5" t="s">
        <v>57</v>
      </c>
      <c r="W232" s="10">
        <f>IF(V232="7–8 hours",0,IF(V232="6–7 hours",1,2))</f>
      </c>
      <c r="X232" s="7" t="s">
        <v>45</v>
      </c>
      <c r="Y232" s="7" t="s">
        <v>75</v>
      </c>
      <c r="Z232" s="7" t="s">
        <v>45</v>
      </c>
      <c r="AA232" s="7" t="s">
        <v>42</v>
      </c>
      <c r="AB232" s="7" t="s">
        <v>42</v>
      </c>
      <c r="AC232" s="7" t="s">
        <v>42</v>
      </c>
      <c r="AD232" s="10">
        <f>I232 + Q232 + U232 + W232</f>
      </c>
      <c r="AE232" s="10">
        <f>IF(AD232&lt;=2,0,IF(AD232&lt;=5,1,2))</f>
      </c>
      <c r="AF232" s="7"/>
    </row>
    <row x14ac:dyDescent="0.25" r="233" customHeight="1" ht="17.25" hidden="1">
      <c r="A233" s="7" t="s">
        <v>31</v>
      </c>
      <c r="B233" s="7" t="s">
        <v>84</v>
      </c>
      <c r="C233" s="7" t="s">
        <v>33</v>
      </c>
      <c r="D233" s="10">
        <v>3</v>
      </c>
      <c r="E233" s="7" t="s">
        <v>34</v>
      </c>
      <c r="F233" s="10">
        <v>154</v>
      </c>
      <c r="G233" s="11">
        <v>92</v>
      </c>
      <c r="H233" s="12">
        <f>G233/((F233/100)*(F233/100))</f>
      </c>
      <c r="I233" s="11">
        <f>IF(H233&lt;25,0,IF(H233&lt;30,1,2))</f>
      </c>
      <c r="J233" s="13">
        <v>1</v>
      </c>
      <c r="K233" s="7" t="s">
        <v>35</v>
      </c>
      <c r="L233" s="7" t="s">
        <v>181</v>
      </c>
      <c r="M233" s="7" t="s">
        <v>54</v>
      </c>
      <c r="N233" s="7" t="s">
        <v>179</v>
      </c>
      <c r="O233" s="7" t="s">
        <v>80</v>
      </c>
      <c r="P233" s="7" t="s">
        <v>55</v>
      </c>
      <c r="Q233" s="10">
        <f>IF(P233="None of the above",0,2)</f>
      </c>
      <c r="R233" s="15" t="s">
        <v>56</v>
      </c>
      <c r="S233" s="15" t="s">
        <v>48</v>
      </c>
      <c r="T233" s="7" t="s">
        <v>99</v>
      </c>
      <c r="U233" s="10">
        <f>IF(T233="Heavy physical",0,IF(T233="Moderate activity",1,2))</f>
      </c>
      <c r="V233" s="5" t="s">
        <v>44</v>
      </c>
      <c r="W233" s="10">
        <f>IF(V233="7–8 hours",0,IF(V233="6–7 hours",1,2))</f>
      </c>
      <c r="X233" s="7" t="s">
        <v>102</v>
      </c>
      <c r="Y233" s="7" t="s">
        <v>75</v>
      </c>
      <c r="Z233" s="7" t="s">
        <v>45</v>
      </c>
      <c r="AA233" s="7" t="s">
        <v>42</v>
      </c>
      <c r="AB233" s="7" t="s">
        <v>48</v>
      </c>
      <c r="AC233" s="7" t="s">
        <v>48</v>
      </c>
      <c r="AD233" s="10">
        <f>I233 + Q233 + U233 + W233</f>
      </c>
      <c r="AE233" s="10">
        <f>IF(AD233&lt;=2,0,IF(AD233&lt;=5,1,2))</f>
      </c>
      <c r="AF233" s="7"/>
    </row>
    <row x14ac:dyDescent="0.25" r="234" customHeight="1" ht="17.25" hidden="1">
      <c r="A234" s="7" t="s">
        <v>49</v>
      </c>
      <c r="B234" s="7" t="s">
        <v>66</v>
      </c>
      <c r="C234" s="7" t="s">
        <v>33</v>
      </c>
      <c r="D234" s="10">
        <v>8</v>
      </c>
      <c r="E234" s="7" t="s">
        <v>51</v>
      </c>
      <c r="F234" s="10">
        <v>173</v>
      </c>
      <c r="G234" s="11">
        <v>75</v>
      </c>
      <c r="H234" s="12">
        <f>G234/((F234/100)*(F234/100))</f>
      </c>
      <c r="I234" s="11">
        <f>IF(H234&lt;25,0,IF(H234&lt;30,1,2))</f>
      </c>
      <c r="J234" s="13">
        <v>3</v>
      </c>
      <c r="K234" s="7" t="s">
        <v>86</v>
      </c>
      <c r="L234" s="7" t="s">
        <v>147</v>
      </c>
      <c r="M234" s="7" t="s">
        <v>54</v>
      </c>
      <c r="N234" s="7" t="s">
        <v>179</v>
      </c>
      <c r="O234" s="7" t="s">
        <v>80</v>
      </c>
      <c r="P234" s="7" t="s">
        <v>81</v>
      </c>
      <c r="Q234" s="10">
        <f>IF(P234="None of the above",0,2)</f>
      </c>
      <c r="R234" s="15" t="s">
        <v>56</v>
      </c>
      <c r="S234" s="7" t="s">
        <v>42</v>
      </c>
      <c r="T234" s="7" t="s">
        <v>96</v>
      </c>
      <c r="U234" s="10">
        <f>IF(T234="Heavy physical",0,IF(T234="Moderate activity",1,2))</f>
      </c>
      <c r="V234" s="5" t="s">
        <v>97</v>
      </c>
      <c r="W234" s="10">
        <f>IF(V234="7–8 hours",0,IF(V234="6–7 hours",1,2))</f>
      </c>
      <c r="X234" s="7" t="s">
        <v>70</v>
      </c>
      <c r="Y234" s="7" t="s">
        <v>75</v>
      </c>
      <c r="Z234" s="7" t="s">
        <v>92</v>
      </c>
      <c r="AA234" s="7" t="s">
        <v>42</v>
      </c>
      <c r="AB234" s="7" t="s">
        <v>42</v>
      </c>
      <c r="AC234" s="7" t="s">
        <v>42</v>
      </c>
      <c r="AD234" s="10">
        <f>I234 + Q234 + U234 + W234</f>
      </c>
      <c r="AE234" s="10">
        <f>IF(AD234&lt;=2,0,IF(AD234&lt;=5,1,2))</f>
      </c>
      <c r="AF234" s="7"/>
    </row>
    <row x14ac:dyDescent="0.25" r="235" customHeight="1" ht="19.5">
      <c r="A235" s="7" t="s">
        <v>149</v>
      </c>
      <c r="B235" s="7" t="s">
        <v>32</v>
      </c>
      <c r="C235" s="7" t="s">
        <v>50</v>
      </c>
      <c r="D235" s="10">
        <v>6</v>
      </c>
      <c r="E235" s="7" t="s">
        <v>34</v>
      </c>
      <c r="F235" s="10">
        <v>149</v>
      </c>
      <c r="G235" s="11">
        <v>93</v>
      </c>
      <c r="H235" s="12">
        <f>G235/((F235/100)*(F235/100))</f>
      </c>
      <c r="I235" s="11">
        <f>IF(H235&lt;25,0,IF(H235&lt;30,1,2))</f>
      </c>
      <c r="J235" s="13">
        <v>1</v>
      </c>
      <c r="K235" s="7" t="s">
        <v>61</v>
      </c>
      <c r="L235" s="7" t="s">
        <v>137</v>
      </c>
      <c r="M235" s="7" t="s">
        <v>185</v>
      </c>
      <c r="N235" s="7" t="s">
        <v>179</v>
      </c>
      <c r="O235" s="7" t="s">
        <v>80</v>
      </c>
      <c r="P235" s="7" t="s">
        <v>196</v>
      </c>
      <c r="Q235" s="10">
        <f>IF(P235="None of the above",0,2)</f>
      </c>
      <c r="R235" s="7" t="s">
        <v>56</v>
      </c>
      <c r="S235" s="15" t="s">
        <v>48</v>
      </c>
      <c r="T235" s="7" t="s">
        <v>96</v>
      </c>
      <c r="U235" s="10">
        <f>IF(T235="Heavy physical",0,IF(T235="Moderate activity",1,2))</f>
      </c>
      <c r="V235" s="5" t="s">
        <v>69</v>
      </c>
      <c r="W235" s="10">
        <f>IF(V235="7–8 hours",0,IF(V235="6–7 hours",1,2))</f>
      </c>
      <c r="X235" s="7" t="s">
        <v>102</v>
      </c>
      <c r="Y235" s="15" t="s">
        <v>64</v>
      </c>
      <c r="Z235" s="7" t="s">
        <v>45</v>
      </c>
      <c r="AA235" s="7" t="s">
        <v>48</v>
      </c>
      <c r="AB235" s="7" t="s">
        <v>42</v>
      </c>
      <c r="AC235" s="7" t="s">
        <v>42</v>
      </c>
      <c r="AD235" s="10">
        <f>I235 + Q235 + U235 + W235</f>
      </c>
      <c r="AE235" s="10">
        <f>IF(AD235&lt;=2,0,IF(AD235&lt;=5,1,2))</f>
      </c>
      <c r="AF235" s="7"/>
    </row>
    <row x14ac:dyDescent="0.25" r="236" customHeight="1" ht="17.25" hidden="1">
      <c r="A236" s="7" t="s">
        <v>76</v>
      </c>
      <c r="B236" s="7" t="s">
        <v>84</v>
      </c>
      <c r="C236" s="7" t="s">
        <v>120</v>
      </c>
      <c r="D236" s="10">
        <v>1</v>
      </c>
      <c r="E236" s="7" t="s">
        <v>34</v>
      </c>
      <c r="F236" s="10">
        <v>161</v>
      </c>
      <c r="G236" s="11">
        <v>64</v>
      </c>
      <c r="H236" s="12">
        <f>G236/((F236/100)*(F236/100))</f>
      </c>
      <c r="I236" s="11">
        <f>IF(H236&lt;25,0,IF(H236&lt;30,1,2))</f>
      </c>
      <c r="J236" s="13">
        <v>2</v>
      </c>
      <c r="K236" s="7" t="s">
        <v>52</v>
      </c>
      <c r="L236" s="7" t="s">
        <v>106</v>
      </c>
      <c r="M236" s="7" t="s">
        <v>185</v>
      </c>
      <c r="N236" s="7" t="s">
        <v>179</v>
      </c>
      <c r="O236" s="7" t="s">
        <v>74</v>
      </c>
      <c r="P236" s="7" t="s">
        <v>81</v>
      </c>
      <c r="Q236" s="10">
        <f>IF(P236="None of the above",0,2)</f>
      </c>
      <c r="R236" s="7" t="s">
        <v>89</v>
      </c>
      <c r="S236" s="7" t="s">
        <v>42</v>
      </c>
      <c r="T236" s="7" t="s">
        <v>96</v>
      </c>
      <c r="U236" s="10">
        <f>IF(T236="Heavy physical",0,IF(T236="Moderate activity",1,2))</f>
      </c>
      <c r="V236" s="5" t="s">
        <v>57</v>
      </c>
      <c r="W236" s="10">
        <f>IF(V236="7–8 hours",0,IF(V236="6–7 hours",1,2))</f>
      </c>
      <c r="X236" s="7" t="s">
        <v>83</v>
      </c>
      <c r="Y236" s="15" t="s">
        <v>64</v>
      </c>
      <c r="Z236" s="7" t="s">
        <v>92</v>
      </c>
      <c r="AA236" s="7" t="s">
        <v>48</v>
      </c>
      <c r="AB236" s="7" t="s">
        <v>48</v>
      </c>
      <c r="AC236" s="7" t="s">
        <v>42</v>
      </c>
      <c r="AD236" s="10">
        <f>I236 + Q236 + U236 + W236</f>
      </c>
      <c r="AE236" s="10">
        <f>IF(AD236&lt;=2,0,IF(AD236&lt;=5,1,2))</f>
      </c>
      <c r="AF236" s="7"/>
    </row>
    <row x14ac:dyDescent="0.25" r="237" customHeight="1" ht="17.25" hidden="1">
      <c r="A237" s="7" t="s">
        <v>31</v>
      </c>
      <c r="B237" s="7" t="s">
        <v>71</v>
      </c>
      <c r="C237" s="7" t="s">
        <v>50</v>
      </c>
      <c r="D237" s="10">
        <v>4</v>
      </c>
      <c r="E237" s="7" t="s">
        <v>34</v>
      </c>
      <c r="F237" s="10">
        <v>153</v>
      </c>
      <c r="G237" s="11">
        <v>70</v>
      </c>
      <c r="H237" s="12">
        <f>G237/((F237/100)*(F237/100))</f>
      </c>
      <c r="I237" s="11">
        <f>IF(H237&lt;25,0,IF(H237&lt;30,1,2))</f>
      </c>
      <c r="J237" s="13">
        <v>3</v>
      </c>
      <c r="K237" s="7" t="s">
        <v>72</v>
      </c>
      <c r="L237" s="7" t="s">
        <v>187</v>
      </c>
      <c r="M237" s="7" t="s">
        <v>54</v>
      </c>
      <c r="N237" s="7" t="s">
        <v>179</v>
      </c>
      <c r="O237" s="7" t="s">
        <v>68</v>
      </c>
      <c r="P237" s="7" t="s">
        <v>81</v>
      </c>
      <c r="Q237" s="10">
        <f>IF(P237="None of the above",0,2)</f>
      </c>
      <c r="R237" s="7" t="s">
        <v>56</v>
      </c>
      <c r="S237" s="15" t="s">
        <v>48</v>
      </c>
      <c r="T237" s="7" t="s">
        <v>96</v>
      </c>
      <c r="U237" s="10">
        <f>IF(T237="Heavy physical",0,IF(T237="Moderate activity",1,2))</f>
      </c>
      <c r="V237" s="5" t="s">
        <v>57</v>
      </c>
      <c r="W237" s="10">
        <f>IF(V237="7–8 hours",0,IF(V237="6–7 hours",1,2))</f>
      </c>
      <c r="X237" s="7" t="s">
        <v>45</v>
      </c>
      <c r="Y237" s="15" t="s">
        <v>64</v>
      </c>
      <c r="Z237" s="7" t="s">
        <v>65</v>
      </c>
      <c r="AA237" s="7" t="s">
        <v>48</v>
      </c>
      <c r="AB237" s="7" t="s">
        <v>42</v>
      </c>
      <c r="AC237" s="7" t="s">
        <v>42</v>
      </c>
      <c r="AD237" s="10">
        <f>I237 + Q237 + U237 + W237</f>
      </c>
      <c r="AE237" s="10">
        <f>IF(AD237&lt;=2,0,IF(AD237&lt;=5,1,2))</f>
      </c>
      <c r="AF237" s="7"/>
    </row>
    <row x14ac:dyDescent="0.25" r="238" customHeight="1" ht="17.25" hidden="1">
      <c r="A238" s="7" t="s">
        <v>76</v>
      </c>
      <c r="B238" s="7" t="s">
        <v>66</v>
      </c>
      <c r="C238" s="7" t="s">
        <v>122</v>
      </c>
      <c r="D238" s="10">
        <v>5</v>
      </c>
      <c r="E238" s="7" t="s">
        <v>51</v>
      </c>
      <c r="F238" s="10">
        <v>194</v>
      </c>
      <c r="G238" s="11">
        <v>79</v>
      </c>
      <c r="H238" s="12">
        <f>G238/((F238/100)*(F238/100))</f>
      </c>
      <c r="I238" s="11">
        <f>IF(H238&lt;25,0,IF(H238&lt;30,1,2))</f>
      </c>
      <c r="J238" s="13">
        <v>3</v>
      </c>
      <c r="K238" s="7" t="s">
        <v>35</v>
      </c>
      <c r="L238" s="7" t="s">
        <v>178</v>
      </c>
      <c r="M238" s="7" t="s">
        <v>185</v>
      </c>
      <c r="N238" s="7" t="s">
        <v>179</v>
      </c>
      <c r="O238" s="7" t="s">
        <v>63</v>
      </c>
      <c r="P238" s="7" t="s">
        <v>40</v>
      </c>
      <c r="Q238" s="10">
        <f>IF(P238="None of the above",0,2)</f>
      </c>
      <c r="R238" s="15" t="s">
        <v>56</v>
      </c>
      <c r="S238" s="7" t="s">
        <v>42</v>
      </c>
      <c r="T238" s="7" t="s">
        <v>96</v>
      </c>
      <c r="U238" s="10">
        <f>IF(T238="Heavy physical",0,IF(T238="Moderate activity",1,2))</f>
      </c>
      <c r="V238" s="5" t="s">
        <v>69</v>
      </c>
      <c r="W238" s="10">
        <f>IF(V238="7–8 hours",0,IF(V238="6–7 hours",1,2))</f>
      </c>
      <c r="X238" s="7" t="s">
        <v>102</v>
      </c>
      <c r="Y238" s="7" t="s">
        <v>75</v>
      </c>
      <c r="Z238" s="7" t="s">
        <v>65</v>
      </c>
      <c r="AA238" s="7" t="s">
        <v>42</v>
      </c>
      <c r="AB238" s="7" t="s">
        <v>42</v>
      </c>
      <c r="AC238" s="7" t="s">
        <v>42</v>
      </c>
      <c r="AD238" s="10">
        <f>I238 + Q238 + U238 + W238</f>
      </c>
      <c r="AE238" s="10">
        <f>IF(AD238&lt;=2,0,IF(AD238&lt;=5,1,2))</f>
      </c>
      <c r="AF238" s="7"/>
    </row>
    <row x14ac:dyDescent="0.25" r="239" customHeight="1" ht="17.25" hidden="1">
      <c r="A239" s="7" t="s">
        <v>192</v>
      </c>
      <c r="B239" s="7" t="s">
        <v>77</v>
      </c>
      <c r="C239" s="7" t="s">
        <v>33</v>
      </c>
      <c r="D239" s="10">
        <v>6</v>
      </c>
      <c r="E239" s="7" t="s">
        <v>34</v>
      </c>
      <c r="F239" s="10">
        <v>182</v>
      </c>
      <c r="G239" s="11">
        <v>56</v>
      </c>
      <c r="H239" s="12">
        <f>G239/((F239/100)*(F239/100))</f>
      </c>
      <c r="I239" s="11">
        <f>IF(H239&lt;25,0,IF(H239&lt;30,1,2))</f>
      </c>
      <c r="J239" s="13">
        <v>3</v>
      </c>
      <c r="K239" s="7" t="s">
        <v>35</v>
      </c>
      <c r="L239" s="7" t="s">
        <v>85</v>
      </c>
      <c r="M239" s="7" t="s">
        <v>54</v>
      </c>
      <c r="N239" s="7" t="s">
        <v>179</v>
      </c>
      <c r="O239" s="7" t="s">
        <v>63</v>
      </c>
      <c r="P239" s="7" t="s">
        <v>55</v>
      </c>
      <c r="Q239" s="10">
        <f>IF(P239="None of the above",0,2)</f>
      </c>
      <c r="R239" s="15" t="s">
        <v>56</v>
      </c>
      <c r="S239" s="15" t="s">
        <v>48</v>
      </c>
      <c r="T239" s="7" t="s">
        <v>96</v>
      </c>
      <c r="U239" s="10">
        <f>IF(T239="Heavy physical",0,IF(T239="Moderate activity",1,2))</f>
      </c>
      <c r="V239" s="5" t="s">
        <v>97</v>
      </c>
      <c r="W239" s="10">
        <f>IF(V239="7–8 hours",0,IF(V239="6–7 hours",1,2))</f>
      </c>
      <c r="X239" s="7" t="s">
        <v>45</v>
      </c>
      <c r="Y239" s="7" t="s">
        <v>75</v>
      </c>
      <c r="Z239" s="7" t="s">
        <v>92</v>
      </c>
      <c r="AA239" s="7" t="s">
        <v>42</v>
      </c>
      <c r="AB239" s="7" t="s">
        <v>48</v>
      </c>
      <c r="AC239" s="7" t="s">
        <v>48</v>
      </c>
      <c r="AD239" s="10">
        <f>I239 + Q239 + U239 + W239</f>
      </c>
      <c r="AE239" s="10">
        <f>IF(AD239&lt;=2,0,IF(AD239&lt;=5,1,2))</f>
      </c>
      <c r="AF239" s="7"/>
    </row>
    <row x14ac:dyDescent="0.25" r="240" customHeight="1" ht="17.25" hidden="1">
      <c r="A240" s="7" t="s">
        <v>76</v>
      </c>
      <c r="B240" s="7" t="s">
        <v>32</v>
      </c>
      <c r="C240" s="7" t="s">
        <v>33</v>
      </c>
      <c r="D240" s="10">
        <v>7</v>
      </c>
      <c r="E240" s="7" t="s">
        <v>34</v>
      </c>
      <c r="F240" s="10">
        <v>189</v>
      </c>
      <c r="G240" s="11">
        <v>114</v>
      </c>
      <c r="H240" s="12">
        <f>G240/((F240/100)*(F240/100))</f>
      </c>
      <c r="I240" s="11">
        <f>IF(H240&lt;25,0,IF(H240&lt;30,1,2))</f>
      </c>
      <c r="J240" s="13">
        <v>3</v>
      </c>
      <c r="K240" s="7" t="s">
        <v>72</v>
      </c>
      <c r="L240" s="7" t="s">
        <v>103</v>
      </c>
      <c r="M240" s="7" t="s">
        <v>185</v>
      </c>
      <c r="N240" s="7" t="s">
        <v>179</v>
      </c>
      <c r="O240" s="7" t="s">
        <v>63</v>
      </c>
      <c r="P240" s="7" t="s">
        <v>81</v>
      </c>
      <c r="Q240" s="10">
        <f>IF(P240="None of the above",0,2)</f>
      </c>
      <c r="R240" s="7" t="s">
        <v>56</v>
      </c>
      <c r="S240" s="7" t="s">
        <v>42</v>
      </c>
      <c r="T240" s="7" t="s">
        <v>96</v>
      </c>
      <c r="U240" s="10">
        <f>IF(T240="Heavy physical",0,IF(T240="Moderate activity",1,2))</f>
      </c>
      <c r="V240" s="5" t="s">
        <v>44</v>
      </c>
      <c r="W240" s="10">
        <f>IF(V240="7–8 hours",0,IF(V240="6–7 hours",1,2))</f>
      </c>
      <c r="X240" s="7" t="s">
        <v>83</v>
      </c>
      <c r="Y240" s="15" t="s">
        <v>64</v>
      </c>
      <c r="Z240" s="7" t="s">
        <v>45</v>
      </c>
      <c r="AA240" s="7" t="s">
        <v>42</v>
      </c>
      <c r="AB240" s="7" t="s">
        <v>48</v>
      </c>
      <c r="AC240" s="7" t="s">
        <v>42</v>
      </c>
      <c r="AD240" s="10">
        <f>I240 + Q240 + U240 + W240</f>
      </c>
      <c r="AE240" s="10">
        <f>IF(AD240&lt;=2,0,IF(AD240&lt;=5,1,2))</f>
      </c>
      <c r="AF240" s="7"/>
    </row>
    <row x14ac:dyDescent="0.25" r="241" customHeight="1" ht="17.25" hidden="1">
      <c r="A241" s="7" t="s">
        <v>49</v>
      </c>
      <c r="B241" s="7" t="s">
        <v>84</v>
      </c>
      <c r="C241" s="7" t="s">
        <v>122</v>
      </c>
      <c r="D241" s="10">
        <v>3</v>
      </c>
      <c r="E241" s="7" t="s">
        <v>51</v>
      </c>
      <c r="F241" s="10">
        <v>145</v>
      </c>
      <c r="G241" s="11">
        <v>91</v>
      </c>
      <c r="H241" s="12">
        <f>G241/((F241/100)*(F241/100))</f>
      </c>
      <c r="I241" s="11">
        <f>IF(H241&lt;25,0,IF(H241&lt;30,1,2))</f>
      </c>
      <c r="J241" s="13">
        <v>3</v>
      </c>
      <c r="K241" s="7" t="s">
        <v>61</v>
      </c>
      <c r="L241" s="7" t="s">
        <v>94</v>
      </c>
      <c r="M241" s="7" t="s">
        <v>185</v>
      </c>
      <c r="N241" s="7" t="s">
        <v>179</v>
      </c>
      <c r="O241" s="7" t="s">
        <v>74</v>
      </c>
      <c r="P241" s="15" t="s">
        <v>132</v>
      </c>
      <c r="Q241" s="10">
        <f>IF(P241="None of the above",0,2)</f>
      </c>
      <c r="R241" s="7" t="s">
        <v>56</v>
      </c>
      <c r="S241" s="15" t="s">
        <v>48</v>
      </c>
      <c r="T241" s="7" t="s">
        <v>96</v>
      </c>
      <c r="U241" s="10">
        <f>IF(T241="Heavy physical",0,IF(T241="Moderate activity",1,2))</f>
      </c>
      <c r="V241" s="5" t="s">
        <v>97</v>
      </c>
      <c r="W241" s="10">
        <f>IF(V241="7–8 hours",0,IF(V241="6–7 hours",1,2))</f>
      </c>
      <c r="X241" s="7" t="s">
        <v>70</v>
      </c>
      <c r="Y241" s="15" t="s">
        <v>64</v>
      </c>
      <c r="Z241" s="7" t="s">
        <v>45</v>
      </c>
      <c r="AA241" s="7" t="s">
        <v>42</v>
      </c>
      <c r="AB241" s="7" t="s">
        <v>42</v>
      </c>
      <c r="AC241" s="7" t="s">
        <v>42</v>
      </c>
      <c r="AD241" s="10">
        <f>I241 + Q241 + U241 + W241</f>
      </c>
      <c r="AE241" s="10">
        <f>IF(AD241&lt;=2,0,IF(AD241&lt;=5,1,2))</f>
      </c>
      <c r="AF241" s="7"/>
    </row>
    <row x14ac:dyDescent="0.25" r="242" customHeight="1" ht="17.25" hidden="1">
      <c r="A242" s="7" t="s">
        <v>49</v>
      </c>
      <c r="B242" s="7" t="s">
        <v>59</v>
      </c>
      <c r="C242" s="7" t="s">
        <v>50</v>
      </c>
      <c r="D242" s="10">
        <v>7</v>
      </c>
      <c r="E242" s="7" t="s">
        <v>51</v>
      </c>
      <c r="F242" s="10">
        <v>163</v>
      </c>
      <c r="G242" s="11">
        <v>83</v>
      </c>
      <c r="H242" s="12">
        <f>G242/((F242/100)*(F242/100))</f>
      </c>
      <c r="I242" s="11">
        <f>IF(H242&lt;25,0,IF(H242&lt;30,1,2))</f>
      </c>
      <c r="J242" s="13">
        <v>3</v>
      </c>
      <c r="K242" s="7" t="s">
        <v>72</v>
      </c>
      <c r="L242" s="7" t="s">
        <v>197</v>
      </c>
      <c r="M242" s="7" t="s">
        <v>185</v>
      </c>
      <c r="N242" s="7" t="s">
        <v>179</v>
      </c>
      <c r="O242" s="7" t="s">
        <v>39</v>
      </c>
      <c r="P242" s="7" t="s">
        <v>40</v>
      </c>
      <c r="Q242" s="10">
        <f>IF(P242="None of the above",0,2)</f>
      </c>
      <c r="R242" s="15" t="s">
        <v>56</v>
      </c>
      <c r="S242" s="15" t="s">
        <v>48</v>
      </c>
      <c r="T242" s="7" t="s">
        <v>96</v>
      </c>
      <c r="U242" s="10">
        <f>IF(T242="Heavy physical",0,IF(T242="Moderate activity",1,2))</f>
      </c>
      <c r="V242" s="5" t="s">
        <v>97</v>
      </c>
      <c r="W242" s="10">
        <f>IF(V242="7–8 hours",0,IF(V242="6–7 hours",1,2))</f>
      </c>
      <c r="X242" s="7" t="s">
        <v>70</v>
      </c>
      <c r="Y242" s="7" t="s">
        <v>75</v>
      </c>
      <c r="Z242" s="7" t="s">
        <v>47</v>
      </c>
      <c r="AA242" s="7" t="s">
        <v>42</v>
      </c>
      <c r="AB242" s="7" t="s">
        <v>42</v>
      </c>
      <c r="AC242" s="7" t="s">
        <v>42</v>
      </c>
      <c r="AD242" s="10">
        <f>I242 + Q242 + U242 + W242</f>
      </c>
      <c r="AE242" s="10">
        <f>IF(AD242&lt;=2,0,IF(AD242&lt;=5,1,2))</f>
      </c>
      <c r="AF242" s="7"/>
    </row>
    <row x14ac:dyDescent="0.25" r="243" customHeight="1" ht="17.25" hidden="1">
      <c r="A243" s="7" t="s">
        <v>31</v>
      </c>
      <c r="B243" s="7" t="s">
        <v>84</v>
      </c>
      <c r="C243" s="7" t="s">
        <v>50</v>
      </c>
      <c r="D243" s="10">
        <v>6</v>
      </c>
      <c r="E243" s="7" t="s">
        <v>34</v>
      </c>
      <c r="F243" s="10">
        <v>194</v>
      </c>
      <c r="G243" s="11">
        <v>90</v>
      </c>
      <c r="H243" s="12">
        <f>G243/((F243/100)*(F243/100))</f>
      </c>
      <c r="I243" s="11">
        <f>IF(H243&lt;25,0,IF(H243&lt;30,1,2))</f>
      </c>
      <c r="J243" s="13">
        <v>2</v>
      </c>
      <c r="K243" s="7" t="s">
        <v>105</v>
      </c>
      <c r="L243" s="7" t="s">
        <v>157</v>
      </c>
      <c r="M243" s="7" t="s">
        <v>185</v>
      </c>
      <c r="N243" s="7" t="s">
        <v>179</v>
      </c>
      <c r="O243" s="7" t="s">
        <v>80</v>
      </c>
      <c r="P243" s="7" t="s">
        <v>81</v>
      </c>
      <c r="Q243" s="10">
        <f>IF(P243="None of the above",0,2)</f>
      </c>
      <c r="R243" s="7" t="s">
        <v>89</v>
      </c>
      <c r="S243" s="7" t="s">
        <v>42</v>
      </c>
      <c r="T243" s="7" t="s">
        <v>96</v>
      </c>
      <c r="U243" s="10">
        <f>IF(T243="Heavy physical",0,IF(T243="Moderate activity",1,2))</f>
      </c>
      <c r="V243" s="5" t="s">
        <v>97</v>
      </c>
      <c r="W243" s="10">
        <f>IF(V243="7–8 hours",0,IF(V243="6–7 hours",1,2))</f>
      </c>
      <c r="X243" s="7" t="s">
        <v>83</v>
      </c>
      <c r="Y243" s="15" t="s">
        <v>64</v>
      </c>
      <c r="Z243" s="7" t="s">
        <v>45</v>
      </c>
      <c r="AA243" s="7" t="s">
        <v>48</v>
      </c>
      <c r="AB243" s="7" t="s">
        <v>48</v>
      </c>
      <c r="AC243" s="7" t="s">
        <v>48</v>
      </c>
      <c r="AD243" s="10">
        <f>I243 + Q243 + U243 + W243</f>
      </c>
      <c r="AE243" s="10">
        <f>IF(AD243&lt;=2,0,IF(AD243&lt;=5,1,2))</f>
      </c>
      <c r="AF243" s="7"/>
    </row>
    <row x14ac:dyDescent="0.25" r="244" customHeight="1" ht="17.25" hidden="1">
      <c r="A244" s="7" t="s">
        <v>31</v>
      </c>
      <c r="B244" s="7" t="s">
        <v>71</v>
      </c>
      <c r="C244" s="7"/>
      <c r="D244" s="10">
        <v>1</v>
      </c>
      <c r="E244" s="7" t="s">
        <v>34</v>
      </c>
      <c r="F244" s="10">
        <v>174</v>
      </c>
      <c r="G244" s="11">
        <v>75</v>
      </c>
      <c r="H244" s="12">
        <f>G244/((F244/100)*(F244/100))</f>
      </c>
      <c r="I244" s="11">
        <f>IF(H244&lt;25,0,IF(H244&lt;30,1,2))</f>
      </c>
      <c r="J244" s="13">
        <v>3</v>
      </c>
      <c r="K244" s="7" t="s">
        <v>105</v>
      </c>
      <c r="L244" s="7" t="s">
        <v>169</v>
      </c>
      <c r="M244" s="7" t="s">
        <v>185</v>
      </c>
      <c r="N244" s="7" t="s">
        <v>179</v>
      </c>
      <c r="O244" s="7" t="s">
        <v>80</v>
      </c>
      <c r="P244" s="7" t="s">
        <v>81</v>
      </c>
      <c r="Q244" s="10">
        <f>IF(P244="None of the above",0,2)</f>
      </c>
      <c r="R244" s="7" t="s">
        <v>89</v>
      </c>
      <c r="S244" s="7" t="s">
        <v>42</v>
      </c>
      <c r="T244" s="7" t="s">
        <v>99</v>
      </c>
      <c r="U244" s="10">
        <f>IF(T244="Heavy physical",0,IF(T244="Moderate activity",1,2))</f>
      </c>
      <c r="V244" s="5" t="s">
        <v>97</v>
      </c>
      <c r="W244" s="10">
        <f>IF(V244="7–8 hours",0,IF(V244="6–7 hours",1,2))</f>
      </c>
      <c r="X244" s="7" t="s">
        <v>102</v>
      </c>
      <c r="Y244" s="15" t="s">
        <v>64</v>
      </c>
      <c r="Z244" s="7" t="s">
        <v>45</v>
      </c>
      <c r="AA244" s="7" t="s">
        <v>42</v>
      </c>
      <c r="AB244" s="7" t="s">
        <v>42</v>
      </c>
      <c r="AC244" s="7" t="s">
        <v>42</v>
      </c>
      <c r="AD244" s="10">
        <f>I244 + Q244 + U244 + W244</f>
      </c>
      <c r="AE244" s="10">
        <f>IF(AD244&lt;=2,0,IF(AD244&lt;=5,1,2))</f>
      </c>
      <c r="AF244" s="7"/>
    </row>
    <row x14ac:dyDescent="0.25" r="245" customHeight="1" ht="17.25" hidden="1">
      <c r="A245" s="7" t="s">
        <v>76</v>
      </c>
      <c r="B245" s="7" t="s">
        <v>77</v>
      </c>
      <c r="C245" s="7" t="s">
        <v>33</v>
      </c>
      <c r="D245" s="10">
        <v>8</v>
      </c>
      <c r="E245" s="7" t="s">
        <v>34</v>
      </c>
      <c r="F245" s="10">
        <v>193</v>
      </c>
      <c r="G245" s="11">
        <v>89</v>
      </c>
      <c r="H245" s="12">
        <f>G245/((F245/100)*(F245/100))</f>
      </c>
      <c r="I245" s="11">
        <f>IF(H245&lt;25,0,IF(H245&lt;30,1,2))</f>
      </c>
      <c r="J245" s="13">
        <v>3</v>
      </c>
      <c r="K245" s="7" t="s">
        <v>105</v>
      </c>
      <c r="L245" s="7" t="s">
        <v>36</v>
      </c>
      <c r="M245" s="7" t="s">
        <v>185</v>
      </c>
      <c r="N245" s="7" t="s">
        <v>179</v>
      </c>
      <c r="O245" s="7" t="s">
        <v>74</v>
      </c>
      <c r="P245" s="7" t="s">
        <v>81</v>
      </c>
      <c r="Q245" s="10">
        <f>IF(P245="None of the above",0,2)</f>
      </c>
      <c r="R245" s="7" t="s">
        <v>89</v>
      </c>
      <c r="S245" s="7" t="s">
        <v>42</v>
      </c>
      <c r="T245" s="7" t="s">
        <v>96</v>
      </c>
      <c r="U245" s="10">
        <f>IF(T245="Heavy physical",0,IF(T245="Moderate activity",1,2))</f>
      </c>
      <c r="V245" s="5" t="s">
        <v>69</v>
      </c>
      <c r="W245" s="10">
        <f>IF(V245="7–8 hours",0,IF(V245="6–7 hours",1,2))</f>
      </c>
      <c r="X245" s="7" t="s">
        <v>102</v>
      </c>
      <c r="Y245" s="7" t="s">
        <v>75</v>
      </c>
      <c r="Z245" s="7" t="s">
        <v>65</v>
      </c>
      <c r="AA245" s="7" t="s">
        <v>48</v>
      </c>
      <c r="AB245" s="7" t="s">
        <v>48</v>
      </c>
      <c r="AC245" s="7" t="s">
        <v>42</v>
      </c>
      <c r="AD245" s="10">
        <f>I245 + Q245 + U245 + W245</f>
      </c>
      <c r="AE245" s="10">
        <f>IF(AD245&lt;=2,0,IF(AD245&lt;=5,1,2))</f>
      </c>
      <c r="AF245" s="7"/>
    </row>
    <row x14ac:dyDescent="0.25" r="246" customHeight="1" ht="17.25" hidden="1">
      <c r="A246" s="7" t="s">
        <v>31</v>
      </c>
      <c r="B246" s="7" t="s">
        <v>93</v>
      </c>
      <c r="C246" s="7"/>
      <c r="D246" s="10">
        <v>6</v>
      </c>
      <c r="E246" s="7" t="s">
        <v>34</v>
      </c>
      <c r="F246" s="10">
        <v>183</v>
      </c>
      <c r="G246" s="11">
        <v>47</v>
      </c>
      <c r="H246" s="12">
        <f>G246/((F246/100)*(F246/100))</f>
      </c>
      <c r="I246" s="11">
        <f>IF(H246&lt;25,0,IF(H246&lt;30,1,2))</f>
      </c>
      <c r="J246" s="13">
        <v>2</v>
      </c>
      <c r="K246" s="7" t="s">
        <v>61</v>
      </c>
      <c r="L246" s="7" t="s">
        <v>152</v>
      </c>
      <c r="M246" s="7" t="s">
        <v>185</v>
      </c>
      <c r="N246" s="7" t="s">
        <v>179</v>
      </c>
      <c r="O246" s="7" t="s">
        <v>80</v>
      </c>
      <c r="P246" s="7" t="s">
        <v>40</v>
      </c>
      <c r="Q246" s="10">
        <f>IF(P246="None of the above",0,2)</f>
      </c>
      <c r="R246" s="15" t="s">
        <v>56</v>
      </c>
      <c r="S246" s="7" t="s">
        <v>42</v>
      </c>
      <c r="T246" s="7" t="s">
        <v>96</v>
      </c>
      <c r="U246" s="10">
        <f>IF(T246="Heavy physical",0,IF(T246="Moderate activity",1,2))</f>
      </c>
      <c r="V246" s="5" t="s">
        <v>44</v>
      </c>
      <c r="W246" s="10">
        <f>IF(V246="7–8 hours",0,IF(V246="6–7 hours",1,2))</f>
      </c>
      <c r="X246" s="7" t="s">
        <v>102</v>
      </c>
      <c r="Y246" s="7" t="s">
        <v>75</v>
      </c>
      <c r="Z246" s="7" t="s">
        <v>65</v>
      </c>
      <c r="AA246" s="7" t="s">
        <v>42</v>
      </c>
      <c r="AB246" s="7" t="s">
        <v>42</v>
      </c>
      <c r="AC246" s="7" t="s">
        <v>42</v>
      </c>
      <c r="AD246" s="10">
        <f>I246 + Q246 + U246 + W246</f>
      </c>
      <c r="AE246" s="10">
        <f>IF(AD246&lt;=2,0,IF(AD246&lt;=5,1,2))</f>
      </c>
      <c r="AF246" s="7"/>
    </row>
    <row x14ac:dyDescent="0.25" r="247" customHeight="1" ht="17.25" hidden="1">
      <c r="A247" s="7" t="s">
        <v>31</v>
      </c>
      <c r="B247" s="7" t="s">
        <v>59</v>
      </c>
      <c r="C247" s="7" t="s">
        <v>50</v>
      </c>
      <c r="D247" s="10">
        <v>1</v>
      </c>
      <c r="E247" s="7" t="s">
        <v>34</v>
      </c>
      <c r="F247" s="10">
        <v>176</v>
      </c>
      <c r="G247" s="11">
        <v>113</v>
      </c>
      <c r="H247" s="12">
        <f>G247/((F247/100)*(F247/100))</f>
      </c>
      <c r="I247" s="11">
        <f>IF(H247&lt;25,0,IF(H247&lt;30,1,2))</f>
      </c>
      <c r="J247" s="13">
        <v>3</v>
      </c>
      <c r="K247" s="7" t="s">
        <v>35</v>
      </c>
      <c r="L247" s="7" t="s">
        <v>147</v>
      </c>
      <c r="M247" s="7" t="s">
        <v>185</v>
      </c>
      <c r="N247" s="7" t="s">
        <v>179</v>
      </c>
      <c r="O247" s="7" t="s">
        <v>63</v>
      </c>
      <c r="P247" s="7" t="s">
        <v>81</v>
      </c>
      <c r="Q247" s="10">
        <f>IF(P247="None of the above",0,2)</f>
      </c>
      <c r="R247" s="7" t="s">
        <v>56</v>
      </c>
      <c r="S247" s="7" t="s">
        <v>42</v>
      </c>
      <c r="T247" s="7" t="s">
        <v>96</v>
      </c>
      <c r="U247" s="10">
        <f>IF(T247="Heavy physical",0,IF(T247="Moderate activity",1,2))</f>
      </c>
      <c r="V247" s="5" t="s">
        <v>57</v>
      </c>
      <c r="W247" s="10">
        <f>IF(V247="7–8 hours",0,IF(V247="6–7 hours",1,2))</f>
      </c>
      <c r="X247" s="7" t="s">
        <v>70</v>
      </c>
      <c r="Y247" s="15" t="s">
        <v>64</v>
      </c>
      <c r="Z247" s="7" t="s">
        <v>92</v>
      </c>
      <c r="AA247" s="7" t="s">
        <v>42</v>
      </c>
      <c r="AB247" s="7" t="s">
        <v>48</v>
      </c>
      <c r="AC247" s="7" t="s">
        <v>42</v>
      </c>
      <c r="AD247" s="10">
        <f>I247 + Q247 + U247 + W247</f>
      </c>
      <c r="AE247" s="10">
        <f>IF(AD247&lt;=2,0,IF(AD247&lt;=5,1,2))</f>
      </c>
      <c r="AF247" s="7"/>
    </row>
    <row x14ac:dyDescent="0.25" r="248" customHeight="1" ht="17.25" hidden="1">
      <c r="A248" s="7" t="s">
        <v>49</v>
      </c>
      <c r="B248" s="7" t="s">
        <v>77</v>
      </c>
      <c r="C248" s="7" t="s">
        <v>122</v>
      </c>
      <c r="D248" s="10">
        <v>3</v>
      </c>
      <c r="E248" s="7" t="s">
        <v>51</v>
      </c>
      <c r="F248" s="10">
        <v>158</v>
      </c>
      <c r="G248" s="11">
        <v>54</v>
      </c>
      <c r="H248" s="12">
        <f>G248/((F248/100)*(F248/100))</f>
      </c>
      <c r="I248" s="11">
        <f>IF(H248&lt;25,0,IF(H248&lt;30,1,2))</f>
      </c>
      <c r="J248" s="13">
        <v>1</v>
      </c>
      <c r="K248" s="7" t="s">
        <v>72</v>
      </c>
      <c r="L248" s="7" t="s">
        <v>140</v>
      </c>
      <c r="M248" s="7" t="s">
        <v>185</v>
      </c>
      <c r="N248" s="7" t="s">
        <v>118</v>
      </c>
      <c r="O248" s="7" t="s">
        <v>68</v>
      </c>
      <c r="P248" s="7" t="s">
        <v>81</v>
      </c>
      <c r="Q248" s="10">
        <f>IF(P248="None of the above",0,2)</f>
      </c>
      <c r="R248" s="7" t="s">
        <v>89</v>
      </c>
      <c r="S248" s="7" t="s">
        <v>42</v>
      </c>
      <c r="T248" s="7" t="s">
        <v>96</v>
      </c>
      <c r="U248" s="10">
        <f>IF(T248="Heavy physical",0,IF(T248="Moderate activity",1,2))</f>
      </c>
      <c r="V248" s="5" t="s">
        <v>57</v>
      </c>
      <c r="W248" s="10">
        <f>IF(V248="7–8 hours",0,IF(V248="6–7 hours",1,2))</f>
      </c>
      <c r="X248" s="7" t="s">
        <v>45</v>
      </c>
      <c r="Y248" s="15" t="s">
        <v>64</v>
      </c>
      <c r="Z248" s="7" t="s">
        <v>45</v>
      </c>
      <c r="AA248" s="7" t="s">
        <v>42</v>
      </c>
      <c r="AB248" s="7" t="s">
        <v>42</v>
      </c>
      <c r="AC248" s="7" t="s">
        <v>42</v>
      </c>
      <c r="AD248" s="10">
        <f>I248 + Q248 + U248 + W248</f>
      </c>
      <c r="AE248" s="10">
        <f>IF(AD248&lt;=2,0,IF(AD248&lt;=5,1,2))</f>
      </c>
      <c r="AF248" s="7"/>
    </row>
    <row x14ac:dyDescent="0.25" r="249" customHeight="1" ht="17.25" hidden="1">
      <c r="A249" s="7" t="s">
        <v>49</v>
      </c>
      <c r="B249" s="7" t="s">
        <v>32</v>
      </c>
      <c r="C249" s="7" t="s">
        <v>33</v>
      </c>
      <c r="D249" s="10">
        <v>8</v>
      </c>
      <c r="E249" s="7" t="s">
        <v>34</v>
      </c>
      <c r="F249" s="10">
        <v>180</v>
      </c>
      <c r="G249" s="11">
        <v>60</v>
      </c>
      <c r="H249" s="12">
        <f>G249/((F249/100)*(F249/100))</f>
      </c>
      <c r="I249" s="11">
        <f>IF(H249&lt;25,0,IF(H249&lt;30,1,2))</f>
      </c>
      <c r="J249" s="13">
        <v>2</v>
      </c>
      <c r="K249" s="7" t="s">
        <v>72</v>
      </c>
      <c r="L249" s="7" t="s">
        <v>108</v>
      </c>
      <c r="M249" s="7" t="s">
        <v>185</v>
      </c>
      <c r="N249" s="7" t="s">
        <v>118</v>
      </c>
      <c r="O249" s="7" t="s">
        <v>74</v>
      </c>
      <c r="P249" s="7" t="s">
        <v>81</v>
      </c>
      <c r="Q249" s="10">
        <f>IF(P249="None of the above",0,2)</f>
      </c>
      <c r="R249" s="7" t="s">
        <v>56</v>
      </c>
      <c r="S249" s="7" t="s">
        <v>42</v>
      </c>
      <c r="T249" s="7" t="s">
        <v>96</v>
      </c>
      <c r="U249" s="10">
        <f>IF(T249="Heavy physical",0,IF(T249="Moderate activity",1,2))</f>
      </c>
      <c r="V249" s="5" t="s">
        <v>69</v>
      </c>
      <c r="W249" s="10">
        <f>IF(V249="7–8 hours",0,IF(V249="6–7 hours",1,2))</f>
      </c>
      <c r="X249" s="7" t="s">
        <v>102</v>
      </c>
      <c r="Y249" s="15" t="s">
        <v>64</v>
      </c>
      <c r="Z249" s="7" t="s">
        <v>45</v>
      </c>
      <c r="AA249" s="7" t="s">
        <v>42</v>
      </c>
      <c r="AB249" s="7" t="s">
        <v>48</v>
      </c>
      <c r="AC249" s="7" t="s">
        <v>42</v>
      </c>
      <c r="AD249" s="10">
        <f>I249 + Q249 + U249 + W249</f>
      </c>
      <c r="AE249" s="10">
        <f>IF(AD249&lt;=2,0,IF(AD249&lt;=5,1,2))</f>
      </c>
      <c r="AF249" s="7"/>
    </row>
    <row x14ac:dyDescent="0.25" r="250" customHeight="1" ht="17.25" hidden="1">
      <c r="A250" s="7" t="s">
        <v>76</v>
      </c>
      <c r="B250" s="7" t="s">
        <v>93</v>
      </c>
      <c r="C250" s="7" t="s">
        <v>33</v>
      </c>
      <c r="D250" s="10">
        <v>8</v>
      </c>
      <c r="E250" s="7" t="s">
        <v>34</v>
      </c>
      <c r="F250" s="10">
        <v>177</v>
      </c>
      <c r="G250" s="11">
        <v>57</v>
      </c>
      <c r="H250" s="12">
        <f>G250/((F250/100)*(F250/100))</f>
      </c>
      <c r="I250" s="11">
        <f>IF(H250&lt;25,0,IF(H250&lt;30,1,2))</f>
      </c>
      <c r="J250" s="13">
        <v>3</v>
      </c>
      <c r="K250" s="7" t="s">
        <v>35</v>
      </c>
      <c r="L250" s="7" t="s">
        <v>36</v>
      </c>
      <c r="M250" s="7" t="s">
        <v>185</v>
      </c>
      <c r="N250" s="7" t="s">
        <v>118</v>
      </c>
      <c r="O250" s="7" t="s">
        <v>80</v>
      </c>
      <c r="P250" s="7" t="s">
        <v>40</v>
      </c>
      <c r="Q250" s="10">
        <f>IF(P250="None of the above",0,2)</f>
      </c>
      <c r="R250" s="15" t="s">
        <v>56</v>
      </c>
      <c r="S250" s="7" t="s">
        <v>42</v>
      </c>
      <c r="T250" s="7" t="s">
        <v>96</v>
      </c>
      <c r="U250" s="10">
        <f>IF(T250="Heavy physical",0,IF(T250="Moderate activity",1,2))</f>
      </c>
      <c r="V250" s="5" t="s">
        <v>44</v>
      </c>
      <c r="W250" s="10">
        <f>IF(V250="7–8 hours",0,IF(V250="6–7 hours",1,2))</f>
      </c>
      <c r="X250" s="7" t="s">
        <v>102</v>
      </c>
      <c r="Y250" s="15" t="s">
        <v>64</v>
      </c>
      <c r="Z250" s="7" t="s">
        <v>92</v>
      </c>
      <c r="AA250" s="7" t="s">
        <v>48</v>
      </c>
      <c r="AB250" s="7" t="s">
        <v>42</v>
      </c>
      <c r="AC250" s="7" t="s">
        <v>48</v>
      </c>
      <c r="AD250" s="10">
        <f>I250 + Q250 + U250 + W250</f>
      </c>
      <c r="AE250" s="10">
        <f>IF(AD250&lt;=2,0,IF(AD250&lt;=5,1,2))</f>
      </c>
      <c r="AF250" s="7"/>
    </row>
    <row x14ac:dyDescent="0.25" r="251" customHeight="1" ht="17.25" hidden="1">
      <c r="A251" s="7" t="s">
        <v>49</v>
      </c>
      <c r="B251" s="7" t="s">
        <v>84</v>
      </c>
      <c r="C251" s="7" t="s">
        <v>50</v>
      </c>
      <c r="D251" s="10">
        <v>3</v>
      </c>
      <c r="E251" s="7" t="s">
        <v>34</v>
      </c>
      <c r="F251" s="10">
        <v>192</v>
      </c>
      <c r="G251" s="11">
        <v>85</v>
      </c>
      <c r="H251" s="12">
        <f>G251/((F251/100)*(F251/100))</f>
      </c>
      <c r="I251" s="11">
        <f>IF(H251&lt;25,0,IF(H251&lt;30,1,2))</f>
      </c>
      <c r="J251" s="13">
        <v>3</v>
      </c>
      <c r="K251" s="7" t="s">
        <v>86</v>
      </c>
      <c r="L251" s="7" t="s">
        <v>140</v>
      </c>
      <c r="M251" s="7" t="s">
        <v>185</v>
      </c>
      <c r="N251" s="7" t="s">
        <v>118</v>
      </c>
      <c r="O251" s="7" t="s">
        <v>39</v>
      </c>
      <c r="P251" s="7" t="s">
        <v>81</v>
      </c>
      <c r="Q251" s="10">
        <f>IF(P251="None of the above",0,2)</f>
      </c>
      <c r="R251" s="7" t="s">
        <v>56</v>
      </c>
      <c r="S251" s="7" t="s">
        <v>42</v>
      </c>
      <c r="T251" s="7" t="s">
        <v>96</v>
      </c>
      <c r="U251" s="10">
        <f>IF(T251="Heavy physical",0,IF(T251="Moderate activity",1,2))</f>
      </c>
      <c r="V251" s="5" t="s">
        <v>57</v>
      </c>
      <c r="W251" s="10">
        <f>IF(V251="7–8 hours",0,IF(V251="6–7 hours",1,2))</f>
      </c>
      <c r="X251" s="7" t="s">
        <v>70</v>
      </c>
      <c r="Y251" s="15" t="s">
        <v>64</v>
      </c>
      <c r="Z251" s="7" t="s">
        <v>47</v>
      </c>
      <c r="AA251" s="7" t="s">
        <v>48</v>
      </c>
      <c r="AB251" s="7" t="s">
        <v>42</v>
      </c>
      <c r="AC251" s="7" t="s">
        <v>48</v>
      </c>
      <c r="AD251" s="10">
        <f>I251 + Q251 + U251 + W251</f>
      </c>
      <c r="AE251" s="10">
        <f>IF(AD251&lt;=2,0,IF(AD251&lt;=5,1,2))</f>
      </c>
      <c r="AF251" s="7"/>
    </row>
    <row x14ac:dyDescent="0.25" r="252" customHeight="1" ht="17.25" hidden="1">
      <c r="A252" s="7" t="s">
        <v>192</v>
      </c>
      <c r="B252" s="7" t="s">
        <v>93</v>
      </c>
      <c r="C252" s="7" t="s">
        <v>122</v>
      </c>
      <c r="D252" s="10">
        <v>1</v>
      </c>
      <c r="E252" s="7" t="s">
        <v>34</v>
      </c>
      <c r="F252" s="10">
        <v>199</v>
      </c>
      <c r="G252" s="11">
        <v>109</v>
      </c>
      <c r="H252" s="12">
        <f>G252/((F252/100)*(F252/100))</f>
      </c>
      <c r="I252" s="11">
        <f>IF(H252&lt;25,0,IF(H252&lt;30,1,2))</f>
      </c>
      <c r="J252" s="13">
        <v>1</v>
      </c>
      <c r="K252" s="7" t="s">
        <v>35</v>
      </c>
      <c r="L252" s="7" t="s">
        <v>94</v>
      </c>
      <c r="M252" s="7" t="s">
        <v>185</v>
      </c>
      <c r="N252" s="7" t="s">
        <v>118</v>
      </c>
      <c r="O252" s="7" t="s">
        <v>74</v>
      </c>
      <c r="P252" s="7" t="s">
        <v>81</v>
      </c>
      <c r="Q252" s="10">
        <f>IF(P252="None of the above",0,2)</f>
      </c>
      <c r="R252" s="7" t="s">
        <v>89</v>
      </c>
      <c r="S252" s="15" t="s">
        <v>48</v>
      </c>
      <c r="T252" s="7" t="s">
        <v>96</v>
      </c>
      <c r="U252" s="10">
        <f>IF(T252="Heavy physical",0,IF(T252="Moderate activity",1,2))</f>
      </c>
      <c r="V252" s="5" t="s">
        <v>97</v>
      </c>
      <c r="W252" s="10">
        <f>IF(V252="7–8 hours",0,IF(V252="6–7 hours",1,2))</f>
      </c>
      <c r="X252" s="7" t="s">
        <v>83</v>
      </c>
      <c r="Y252" s="7" t="s">
        <v>75</v>
      </c>
      <c r="Z252" s="7" t="s">
        <v>45</v>
      </c>
      <c r="AA252" s="7" t="s">
        <v>48</v>
      </c>
      <c r="AB252" s="7" t="s">
        <v>48</v>
      </c>
      <c r="AC252" s="7" t="s">
        <v>42</v>
      </c>
      <c r="AD252" s="10">
        <f>I252 + Q252 + U252 + W252</f>
      </c>
      <c r="AE252" s="10">
        <f>IF(AD252&lt;=2,0,IF(AD252&lt;=5,1,2))</f>
      </c>
      <c r="AF252" s="7"/>
    </row>
    <row x14ac:dyDescent="0.25" r="253" customHeight="1" ht="17.25" hidden="1">
      <c r="A253" s="7" t="s">
        <v>76</v>
      </c>
      <c r="B253" s="7" t="s">
        <v>71</v>
      </c>
      <c r="C253" s="7" t="s">
        <v>50</v>
      </c>
      <c r="D253" s="10">
        <v>1</v>
      </c>
      <c r="E253" s="7" t="s">
        <v>34</v>
      </c>
      <c r="F253" s="10">
        <v>187</v>
      </c>
      <c r="G253" s="11">
        <v>103</v>
      </c>
      <c r="H253" s="12">
        <f>G253/((F253/100)*(F253/100))</f>
      </c>
      <c r="I253" s="11">
        <f>IF(H253&lt;25,0,IF(H253&lt;30,1,2))</f>
      </c>
      <c r="J253" s="13">
        <v>3</v>
      </c>
      <c r="K253" s="7" t="s">
        <v>72</v>
      </c>
      <c r="L253" s="7" t="s">
        <v>36</v>
      </c>
      <c r="M253" s="7" t="s">
        <v>54</v>
      </c>
      <c r="N253" s="7" t="s">
        <v>179</v>
      </c>
      <c r="O253" s="7" t="s">
        <v>39</v>
      </c>
      <c r="P253" s="7" t="s">
        <v>81</v>
      </c>
      <c r="Q253" s="10">
        <f>IF(P253="None of the above",0,2)</f>
      </c>
      <c r="R253" s="7" t="s">
        <v>56</v>
      </c>
      <c r="S253" s="15" t="s">
        <v>48</v>
      </c>
      <c r="T253" s="7" t="s">
        <v>96</v>
      </c>
      <c r="U253" s="10">
        <f>IF(T253="Heavy physical",0,IF(T253="Moderate activity",1,2))</f>
      </c>
      <c r="V253" s="5" t="s">
        <v>44</v>
      </c>
      <c r="W253" s="10">
        <f>IF(V253="7–8 hours",0,IF(V253="6–7 hours",1,2))</f>
      </c>
      <c r="X253" s="7" t="s">
        <v>45</v>
      </c>
      <c r="Y253" s="7" t="s">
        <v>58</v>
      </c>
      <c r="Z253" s="7" t="s">
        <v>47</v>
      </c>
      <c r="AA253" s="7" t="s">
        <v>48</v>
      </c>
      <c r="AB253" s="7" t="s">
        <v>42</v>
      </c>
      <c r="AC253" s="7" t="s">
        <v>42</v>
      </c>
      <c r="AD253" s="10">
        <f>I253 + Q253 + U253 + W253</f>
      </c>
      <c r="AE253" s="10">
        <f>IF(AD253&lt;=2,0,IF(AD253&lt;=5,1,2))</f>
      </c>
      <c r="AF253" s="7"/>
    </row>
    <row x14ac:dyDescent="0.25" r="254" customHeight="1" ht="17.25" hidden="1">
      <c r="A254" s="7" t="s">
        <v>31</v>
      </c>
      <c r="B254" s="7" t="s">
        <v>84</v>
      </c>
      <c r="C254" s="7" t="s">
        <v>122</v>
      </c>
      <c r="D254" s="10">
        <v>2</v>
      </c>
      <c r="E254" s="7" t="s">
        <v>51</v>
      </c>
      <c r="F254" s="10">
        <v>193</v>
      </c>
      <c r="G254" s="11">
        <v>109</v>
      </c>
      <c r="H254" s="12">
        <f>G254/((F254/100)*(F254/100))</f>
      </c>
      <c r="I254" s="11">
        <f>IF(H254&lt;25,0,IF(H254&lt;30,1,2))</f>
      </c>
      <c r="J254" s="13">
        <v>3</v>
      </c>
      <c r="K254" s="7" t="s">
        <v>52</v>
      </c>
      <c r="L254" s="7" t="s">
        <v>137</v>
      </c>
      <c r="M254" s="7" t="s">
        <v>185</v>
      </c>
      <c r="N254" s="7" t="s">
        <v>179</v>
      </c>
      <c r="O254" s="7" t="s">
        <v>68</v>
      </c>
      <c r="P254" s="7" t="s">
        <v>40</v>
      </c>
      <c r="Q254" s="10">
        <f>IF(P254="None of the above",0,2)</f>
      </c>
      <c r="R254" s="7" t="s">
        <v>56</v>
      </c>
      <c r="S254" s="7" t="s">
        <v>42</v>
      </c>
      <c r="T254" s="7" t="s">
        <v>96</v>
      </c>
      <c r="U254" s="10">
        <f>IF(T254="Heavy physical",0,IF(T254="Moderate activity",1,2))</f>
      </c>
      <c r="V254" s="5" t="s">
        <v>57</v>
      </c>
      <c r="W254" s="10">
        <f>IF(V254="7–8 hours",0,IF(V254="6–7 hours",1,2))</f>
      </c>
      <c r="X254" s="7" t="s">
        <v>102</v>
      </c>
      <c r="Y254" s="7" t="s">
        <v>58</v>
      </c>
      <c r="Z254" s="7" t="s">
        <v>45</v>
      </c>
      <c r="AA254" s="7" t="s">
        <v>42</v>
      </c>
      <c r="AB254" s="7" t="s">
        <v>42</v>
      </c>
      <c r="AC254" s="7" t="s">
        <v>42</v>
      </c>
      <c r="AD254" s="10">
        <f>I254 + Q254 + U254 + W254</f>
      </c>
      <c r="AE254" s="10">
        <f>IF(AD254&lt;=2,0,IF(AD254&lt;=5,1,2))</f>
      </c>
      <c r="AF254" s="7"/>
    </row>
    <row x14ac:dyDescent="0.25" r="255" customHeight="1" ht="17.25" hidden="1">
      <c r="A255" s="7" t="s">
        <v>76</v>
      </c>
      <c r="B255" s="7" t="s">
        <v>59</v>
      </c>
      <c r="C255" s="7" t="s">
        <v>50</v>
      </c>
      <c r="D255" s="10">
        <v>4</v>
      </c>
      <c r="E255" s="7" t="s">
        <v>51</v>
      </c>
      <c r="F255" s="10">
        <v>157</v>
      </c>
      <c r="G255" s="11">
        <v>116</v>
      </c>
      <c r="H255" s="12">
        <f>G255/((F255/100)*(F255/100))</f>
      </c>
      <c r="I255" s="11">
        <f>IF(H255&lt;25,0,IF(H255&lt;30,1,2))</f>
      </c>
      <c r="J255" s="13">
        <v>1</v>
      </c>
      <c r="K255" s="7" t="s">
        <v>52</v>
      </c>
      <c r="L255" s="7" t="s">
        <v>172</v>
      </c>
      <c r="M255" s="7" t="s">
        <v>185</v>
      </c>
      <c r="N255" s="7" t="s">
        <v>179</v>
      </c>
      <c r="O255" s="7" t="s">
        <v>63</v>
      </c>
      <c r="P255" s="15" t="s">
        <v>132</v>
      </c>
      <c r="Q255" s="10">
        <f>IF(P255="None of the above",0,2)</f>
      </c>
      <c r="R255" s="7" t="s">
        <v>56</v>
      </c>
      <c r="S255" s="15" t="s">
        <v>48</v>
      </c>
      <c r="T255" s="7" t="s">
        <v>96</v>
      </c>
      <c r="U255" s="10">
        <f>IF(T255="Heavy physical",0,IF(T255="Moderate activity",1,2))</f>
      </c>
      <c r="V255" s="5" t="s">
        <v>44</v>
      </c>
      <c r="W255" s="10">
        <f>IF(V255="7–8 hours",0,IF(V255="6–7 hours",1,2))</f>
      </c>
      <c r="X255" s="7" t="s">
        <v>70</v>
      </c>
      <c r="Y255" s="15" t="s">
        <v>64</v>
      </c>
      <c r="Z255" s="7" t="s">
        <v>65</v>
      </c>
      <c r="AA255" s="7" t="s">
        <v>42</v>
      </c>
      <c r="AB255" s="7" t="s">
        <v>42</v>
      </c>
      <c r="AC255" s="7" t="s">
        <v>42</v>
      </c>
      <c r="AD255" s="10">
        <f>I255 + Q255 + U255 + W255</f>
      </c>
      <c r="AE255" s="10">
        <f>IF(AD255&lt;=2,0,IF(AD255&lt;=5,1,2))</f>
      </c>
      <c r="AF255" s="7"/>
    </row>
    <row x14ac:dyDescent="0.25" r="256" customHeight="1" ht="17.25" hidden="1">
      <c r="A256" s="7" t="s">
        <v>76</v>
      </c>
      <c r="B256" s="7" t="s">
        <v>71</v>
      </c>
      <c r="C256" s="7" t="s">
        <v>33</v>
      </c>
      <c r="D256" s="10">
        <v>2</v>
      </c>
      <c r="E256" s="7" t="s">
        <v>51</v>
      </c>
      <c r="F256" s="10">
        <v>189</v>
      </c>
      <c r="G256" s="11">
        <v>49</v>
      </c>
      <c r="H256" s="12">
        <f>G256/((F256/100)*(F256/100))</f>
      </c>
      <c r="I256" s="11">
        <f>IF(H256&lt;25,0,IF(H256&lt;30,1,2))</f>
      </c>
      <c r="J256" s="13">
        <v>3</v>
      </c>
      <c r="K256" s="7" t="s">
        <v>35</v>
      </c>
      <c r="L256" s="7" t="s">
        <v>198</v>
      </c>
      <c r="M256" s="7" t="s">
        <v>185</v>
      </c>
      <c r="N256" s="7" t="s">
        <v>179</v>
      </c>
      <c r="O256" s="7" t="s">
        <v>68</v>
      </c>
      <c r="P256" s="7" t="s">
        <v>55</v>
      </c>
      <c r="Q256" s="10">
        <f>IF(P256="None of the above",0,2)</f>
      </c>
      <c r="R256" s="7" t="s">
        <v>56</v>
      </c>
      <c r="S256" s="15" t="s">
        <v>48</v>
      </c>
      <c r="T256" s="7" t="s">
        <v>96</v>
      </c>
      <c r="U256" s="10">
        <f>IF(T256="Heavy physical",0,IF(T256="Moderate activity",1,2))</f>
      </c>
      <c r="V256" s="5" t="s">
        <v>57</v>
      </c>
      <c r="W256" s="10">
        <f>IF(V256="7–8 hours",0,IF(V256="6–7 hours",1,2))</f>
      </c>
      <c r="X256" s="7" t="s">
        <v>102</v>
      </c>
      <c r="Y256" s="7" t="s">
        <v>58</v>
      </c>
      <c r="Z256" s="7" t="s">
        <v>65</v>
      </c>
      <c r="AA256" s="7" t="s">
        <v>42</v>
      </c>
      <c r="AB256" s="7" t="s">
        <v>42</v>
      </c>
      <c r="AC256" s="7" t="s">
        <v>42</v>
      </c>
      <c r="AD256" s="10">
        <f>I256 + Q256 + U256 + W256</f>
      </c>
      <c r="AE256" s="10">
        <f>IF(AD256&lt;=2,0,IF(AD256&lt;=5,1,2))</f>
      </c>
      <c r="AF256" s="7"/>
    </row>
    <row x14ac:dyDescent="0.25" r="257" customHeight="1" ht="17.25" hidden="1">
      <c r="A257" s="7" t="s">
        <v>31</v>
      </c>
      <c r="B257" s="7" t="s">
        <v>84</v>
      </c>
      <c r="C257" s="7" t="s">
        <v>33</v>
      </c>
      <c r="D257" s="10">
        <v>6</v>
      </c>
      <c r="E257" s="7" t="s">
        <v>51</v>
      </c>
      <c r="F257" s="10">
        <v>167</v>
      </c>
      <c r="G257" s="11">
        <v>94</v>
      </c>
      <c r="H257" s="12">
        <f>G257/((F257/100)*(F257/100))</f>
      </c>
      <c r="I257" s="11">
        <f>IF(H257&lt;25,0,IF(H257&lt;30,1,2))</f>
      </c>
      <c r="J257" s="13">
        <v>2</v>
      </c>
      <c r="K257" s="7" t="s">
        <v>72</v>
      </c>
      <c r="L257" s="7" t="s">
        <v>140</v>
      </c>
      <c r="M257" s="7" t="s">
        <v>41</v>
      </c>
      <c r="N257" s="7" t="s">
        <v>179</v>
      </c>
      <c r="O257" s="7" t="s">
        <v>80</v>
      </c>
      <c r="P257" s="7" t="s">
        <v>81</v>
      </c>
      <c r="Q257" s="10">
        <f>IF(P257="None of the above",0,2)</f>
      </c>
      <c r="R257" s="7" t="s">
        <v>56</v>
      </c>
      <c r="S257" s="7" t="s">
        <v>42</v>
      </c>
      <c r="T257" s="7" t="s">
        <v>96</v>
      </c>
      <c r="U257" s="10">
        <f>IF(T257="Heavy physical",0,IF(T257="Moderate activity",1,2))</f>
      </c>
      <c r="V257" s="5" t="s">
        <v>57</v>
      </c>
      <c r="W257" s="10">
        <f>IF(V257="7–8 hours",0,IF(V257="6–7 hours",1,2))</f>
      </c>
      <c r="X257" s="7" t="s">
        <v>45</v>
      </c>
      <c r="Y257" s="7" t="s">
        <v>58</v>
      </c>
      <c r="Z257" s="7" t="s">
        <v>45</v>
      </c>
      <c r="AA257" s="7" t="s">
        <v>42</v>
      </c>
      <c r="AB257" s="7" t="s">
        <v>42</v>
      </c>
      <c r="AC257" s="7" t="s">
        <v>42</v>
      </c>
      <c r="AD257" s="10">
        <f>I257 + Q257 + U257 + W257</f>
      </c>
      <c r="AE257" s="10">
        <f>IF(AD257&lt;=2,0,IF(AD257&lt;=5,1,2))</f>
      </c>
      <c r="AF257" s="7"/>
    </row>
    <row x14ac:dyDescent="0.25" r="258" customHeight="1" ht="17.25" hidden="1">
      <c r="A258" s="7" t="s">
        <v>76</v>
      </c>
      <c r="B258" s="7" t="s">
        <v>71</v>
      </c>
      <c r="C258" s="7" t="s">
        <v>33</v>
      </c>
      <c r="D258" s="10">
        <v>1</v>
      </c>
      <c r="E258" s="7" t="s">
        <v>51</v>
      </c>
      <c r="F258" s="10">
        <v>182</v>
      </c>
      <c r="G258" s="11">
        <v>46</v>
      </c>
      <c r="H258" s="12">
        <f>G258/((F258/100)*(F258/100))</f>
      </c>
      <c r="I258" s="11">
        <f>IF(H258&lt;25,0,IF(H258&lt;30,1,2))</f>
      </c>
      <c r="J258" s="13">
        <v>2</v>
      </c>
      <c r="K258" s="7" t="s">
        <v>105</v>
      </c>
      <c r="L258" s="7" t="s">
        <v>116</v>
      </c>
      <c r="M258" s="7" t="s">
        <v>54</v>
      </c>
      <c r="N258" s="7" t="s">
        <v>118</v>
      </c>
      <c r="O258" s="7" t="s">
        <v>63</v>
      </c>
      <c r="P258" s="7" t="s">
        <v>81</v>
      </c>
      <c r="Q258" s="10">
        <f>IF(P258="None of the above",0,2)</f>
      </c>
      <c r="R258" s="7" t="s">
        <v>56</v>
      </c>
      <c r="S258" s="15" t="s">
        <v>48</v>
      </c>
      <c r="T258" s="7" t="s">
        <v>96</v>
      </c>
      <c r="U258" s="10">
        <f>IF(T258="Heavy physical",0,IF(T258="Moderate activity",1,2))</f>
      </c>
      <c r="V258" s="5" t="s">
        <v>97</v>
      </c>
      <c r="W258" s="10">
        <f>IF(V258="7–8 hours",0,IF(V258="6–7 hours",1,2))</f>
      </c>
      <c r="X258" s="7" t="s">
        <v>102</v>
      </c>
      <c r="Y258" s="7" t="s">
        <v>75</v>
      </c>
      <c r="Z258" s="7" t="s">
        <v>45</v>
      </c>
      <c r="AA258" s="7" t="s">
        <v>42</v>
      </c>
      <c r="AB258" s="7" t="s">
        <v>42</v>
      </c>
      <c r="AC258" s="7" t="s">
        <v>42</v>
      </c>
      <c r="AD258" s="10">
        <f>I258 + Q258 + U258 + W258</f>
      </c>
      <c r="AE258" s="10">
        <f>IF(AD258&lt;=2,0,IF(AD258&lt;=5,1,2))</f>
      </c>
      <c r="AF258" s="7"/>
    </row>
    <row x14ac:dyDescent="0.25" r="259" customHeight="1" ht="17.25" hidden="1">
      <c r="A259" s="7" t="s">
        <v>49</v>
      </c>
      <c r="B259" s="7" t="s">
        <v>66</v>
      </c>
      <c r="C259" s="7" t="s">
        <v>33</v>
      </c>
      <c r="D259" s="10">
        <v>6</v>
      </c>
      <c r="E259" s="7" t="s">
        <v>34</v>
      </c>
      <c r="F259" s="10">
        <v>178</v>
      </c>
      <c r="G259" s="11">
        <v>76</v>
      </c>
      <c r="H259" s="12">
        <f>G259/((F259/100)*(F259/100))</f>
      </c>
      <c r="I259" s="11">
        <f>IF(H259&lt;25,0,IF(H259&lt;30,1,2))</f>
      </c>
      <c r="J259" s="13">
        <v>1</v>
      </c>
      <c r="K259" s="7" t="s">
        <v>105</v>
      </c>
      <c r="L259" s="7" t="s">
        <v>85</v>
      </c>
      <c r="M259" s="7" t="s">
        <v>185</v>
      </c>
      <c r="N259" s="7" t="s">
        <v>118</v>
      </c>
      <c r="O259" s="7" t="s">
        <v>80</v>
      </c>
      <c r="P259" s="7" t="s">
        <v>40</v>
      </c>
      <c r="Q259" s="10">
        <f>IF(P259="None of the above",0,2)</f>
      </c>
      <c r="R259" s="7" t="s">
        <v>56</v>
      </c>
      <c r="S259" s="7" t="s">
        <v>42</v>
      </c>
      <c r="T259" s="7" t="s">
        <v>96</v>
      </c>
      <c r="U259" s="10">
        <f>IF(T259="Heavy physical",0,IF(T259="Moderate activity",1,2))</f>
      </c>
      <c r="V259" s="5" t="s">
        <v>97</v>
      </c>
      <c r="W259" s="10">
        <f>IF(V259="7–8 hours",0,IF(V259="6–7 hours",1,2))</f>
      </c>
      <c r="X259" s="7" t="s">
        <v>45</v>
      </c>
      <c r="Y259" s="7" t="s">
        <v>58</v>
      </c>
      <c r="Z259" s="7" t="s">
        <v>45</v>
      </c>
      <c r="AA259" s="7" t="s">
        <v>48</v>
      </c>
      <c r="AB259" s="7" t="s">
        <v>48</v>
      </c>
      <c r="AC259" s="7" t="s">
        <v>42</v>
      </c>
      <c r="AD259" s="10">
        <f>I259 + Q259 + U259 + W259</f>
      </c>
      <c r="AE259" s="10">
        <f>IF(AD259&lt;=2,0,IF(AD259&lt;=5,1,2))</f>
      </c>
      <c r="AF259" s="7"/>
    </row>
    <row x14ac:dyDescent="0.25" r="260" customHeight="1" ht="17.25" hidden="1">
      <c r="A260" s="7" t="s">
        <v>49</v>
      </c>
      <c r="B260" s="7" t="s">
        <v>84</v>
      </c>
      <c r="C260" s="7" t="s">
        <v>33</v>
      </c>
      <c r="D260" s="10">
        <v>6</v>
      </c>
      <c r="E260" s="7" t="s">
        <v>51</v>
      </c>
      <c r="F260" s="10">
        <v>181</v>
      </c>
      <c r="G260" s="11">
        <v>94</v>
      </c>
      <c r="H260" s="12">
        <f>G260/((F260/100)*(F260/100))</f>
      </c>
      <c r="I260" s="11">
        <f>IF(H260&lt;25,0,IF(H260&lt;30,1,2))</f>
      </c>
      <c r="J260" s="13">
        <v>1</v>
      </c>
      <c r="K260" s="7" t="s">
        <v>61</v>
      </c>
      <c r="L260" s="7" t="s">
        <v>103</v>
      </c>
      <c r="M260" s="7" t="s">
        <v>41</v>
      </c>
      <c r="N260" s="7" t="s">
        <v>118</v>
      </c>
      <c r="O260" s="7" t="s">
        <v>74</v>
      </c>
      <c r="P260" s="7" t="s">
        <v>81</v>
      </c>
      <c r="Q260" s="10">
        <f>IF(P260="None of the above",0,2)</f>
      </c>
      <c r="R260" s="7" t="s">
        <v>56</v>
      </c>
      <c r="S260" s="15" t="s">
        <v>48</v>
      </c>
      <c r="T260" s="7" t="s">
        <v>96</v>
      </c>
      <c r="U260" s="10">
        <f>IF(T260="Heavy physical",0,IF(T260="Moderate activity",1,2))</f>
      </c>
      <c r="V260" s="5" t="s">
        <v>97</v>
      </c>
      <c r="W260" s="10">
        <f>IF(V260="7–8 hours",0,IF(V260="6–7 hours",1,2))</f>
      </c>
      <c r="X260" s="7" t="s">
        <v>70</v>
      </c>
      <c r="Y260" s="15" t="s">
        <v>64</v>
      </c>
      <c r="Z260" s="7" t="s">
        <v>47</v>
      </c>
      <c r="AA260" s="7" t="s">
        <v>42</v>
      </c>
      <c r="AB260" s="7" t="s">
        <v>42</v>
      </c>
      <c r="AC260" s="7" t="s">
        <v>42</v>
      </c>
      <c r="AD260" s="10">
        <f>I260 + Q260 + U260 + W260</f>
      </c>
      <c r="AE260" s="10">
        <f>IF(AD260&lt;=2,0,IF(AD260&lt;=5,1,2))</f>
      </c>
      <c r="AF260" s="7"/>
    </row>
    <row x14ac:dyDescent="0.25" r="261" customHeight="1" ht="17.25" hidden="1">
      <c r="A261" s="7" t="s">
        <v>192</v>
      </c>
      <c r="B261" s="7" t="s">
        <v>59</v>
      </c>
      <c r="C261" s="7" t="s">
        <v>33</v>
      </c>
      <c r="D261" s="10">
        <v>1</v>
      </c>
      <c r="E261" s="7" t="s">
        <v>34</v>
      </c>
      <c r="F261" s="10">
        <v>200</v>
      </c>
      <c r="G261" s="11">
        <v>95</v>
      </c>
      <c r="H261" s="12">
        <f>G261/((F261/100)*(F261/100))</f>
      </c>
      <c r="I261" s="11">
        <f>IF(H261&lt;25,0,IF(H261&lt;30,1,2))</f>
      </c>
      <c r="J261" s="13">
        <v>1</v>
      </c>
      <c r="K261" s="7" t="s">
        <v>35</v>
      </c>
      <c r="L261" s="7" t="s">
        <v>94</v>
      </c>
      <c r="M261" s="7" t="s">
        <v>54</v>
      </c>
      <c r="N261" s="7" t="s">
        <v>118</v>
      </c>
      <c r="O261" s="7" t="s">
        <v>80</v>
      </c>
      <c r="P261" s="7" t="s">
        <v>81</v>
      </c>
      <c r="Q261" s="10">
        <f>IF(P261="None of the above",0,2)</f>
      </c>
      <c r="R261" s="7" t="s">
        <v>56</v>
      </c>
      <c r="S261" s="7" t="s">
        <v>42</v>
      </c>
      <c r="T261" s="7" t="s">
        <v>99</v>
      </c>
      <c r="U261" s="10">
        <f>IF(T261="Heavy physical",0,IF(T261="Moderate activity",1,2))</f>
      </c>
      <c r="V261" s="5" t="s">
        <v>57</v>
      </c>
      <c r="W261" s="10">
        <f>IF(V261="7–8 hours",0,IF(V261="6–7 hours",1,2))</f>
      </c>
      <c r="X261" s="7" t="s">
        <v>70</v>
      </c>
      <c r="Y261" s="7" t="s">
        <v>58</v>
      </c>
      <c r="Z261" s="7" t="s">
        <v>45</v>
      </c>
      <c r="AA261" s="7" t="s">
        <v>42</v>
      </c>
      <c r="AB261" s="7" t="s">
        <v>42</v>
      </c>
      <c r="AC261" s="7" t="s">
        <v>48</v>
      </c>
      <c r="AD261" s="10">
        <f>I261 + Q261 + U261 + W261</f>
      </c>
      <c r="AE261" s="10">
        <f>IF(AD261&lt;=2,0,IF(AD261&lt;=5,1,2))</f>
      </c>
      <c r="AF261" s="7"/>
    </row>
    <row x14ac:dyDescent="0.25" r="262" customHeight="1" ht="17.25" hidden="1">
      <c r="A262" s="7" t="s">
        <v>76</v>
      </c>
      <c r="B262" s="7" t="s">
        <v>84</v>
      </c>
      <c r="C262" s="7" t="s">
        <v>33</v>
      </c>
      <c r="D262" s="10">
        <v>2</v>
      </c>
      <c r="E262" s="7" t="s">
        <v>34</v>
      </c>
      <c r="F262" s="10">
        <v>160</v>
      </c>
      <c r="G262" s="11">
        <v>86</v>
      </c>
      <c r="H262" s="12">
        <f>G262/((F262/100)*(F262/100))</f>
      </c>
      <c r="I262" s="11">
        <f>IF(H262&lt;25,0,IF(H262&lt;30,1,2))</f>
      </c>
      <c r="J262" s="13">
        <v>2</v>
      </c>
      <c r="K262" s="7" t="s">
        <v>72</v>
      </c>
      <c r="L262" s="7" t="s">
        <v>172</v>
      </c>
      <c r="M262" s="7" t="s">
        <v>185</v>
      </c>
      <c r="N262" s="7" t="s">
        <v>118</v>
      </c>
      <c r="O262" s="7" t="s">
        <v>80</v>
      </c>
      <c r="P262" s="7" t="s">
        <v>40</v>
      </c>
      <c r="Q262" s="10">
        <f>IF(P262="None of the above",0,2)</f>
      </c>
      <c r="R262" s="7" t="s">
        <v>56</v>
      </c>
      <c r="S262" s="15" t="s">
        <v>48</v>
      </c>
      <c r="T262" s="7" t="s">
        <v>96</v>
      </c>
      <c r="U262" s="10">
        <f>IF(T262="Heavy physical",0,IF(T262="Moderate activity",1,2))</f>
      </c>
      <c r="V262" s="5" t="s">
        <v>44</v>
      </c>
      <c r="W262" s="10">
        <f>IF(V262="7–8 hours",0,IF(V262="6–7 hours",1,2))</f>
      </c>
      <c r="X262" s="7" t="s">
        <v>70</v>
      </c>
      <c r="Y262" s="7" t="s">
        <v>75</v>
      </c>
      <c r="Z262" s="7" t="s">
        <v>45</v>
      </c>
      <c r="AA262" s="7" t="s">
        <v>42</v>
      </c>
      <c r="AB262" s="7" t="s">
        <v>42</v>
      </c>
      <c r="AC262" s="7" t="s">
        <v>42</v>
      </c>
      <c r="AD262" s="10">
        <f>I262 + Q262 + U262 + W262</f>
      </c>
      <c r="AE262" s="10">
        <f>IF(AD262&lt;=2,0,IF(AD262&lt;=5,1,2))</f>
      </c>
      <c r="AF262" s="7"/>
    </row>
    <row x14ac:dyDescent="0.25" r="263" customHeight="1" ht="17.25" hidden="1">
      <c r="A263" s="7" t="s">
        <v>49</v>
      </c>
      <c r="B263" s="7" t="s">
        <v>32</v>
      </c>
      <c r="C263" s="7" t="s">
        <v>33</v>
      </c>
      <c r="D263" s="10">
        <v>8</v>
      </c>
      <c r="E263" s="7" t="s">
        <v>34</v>
      </c>
      <c r="F263" s="10">
        <v>189</v>
      </c>
      <c r="G263" s="11">
        <v>51</v>
      </c>
      <c r="H263" s="12">
        <f>G263/((F263/100)*(F263/100))</f>
      </c>
      <c r="I263" s="11">
        <f>IF(H263&lt;25,0,IF(H263&lt;30,1,2))</f>
      </c>
      <c r="J263" s="13">
        <v>3</v>
      </c>
      <c r="K263" s="7" t="s">
        <v>72</v>
      </c>
      <c r="L263" s="7" t="s">
        <v>147</v>
      </c>
      <c r="M263" s="7" t="s">
        <v>185</v>
      </c>
      <c r="N263" s="7" t="s">
        <v>118</v>
      </c>
      <c r="O263" s="7" t="s">
        <v>39</v>
      </c>
      <c r="P263" s="7" t="s">
        <v>81</v>
      </c>
      <c r="Q263" s="10">
        <f>IF(P263="None of the above",0,2)</f>
      </c>
      <c r="R263" s="7" t="s">
        <v>56</v>
      </c>
      <c r="S263" s="7" t="s">
        <v>42</v>
      </c>
      <c r="T263" s="7" t="s">
        <v>96</v>
      </c>
      <c r="U263" s="10">
        <f>IF(T263="Heavy physical",0,IF(T263="Moderate activity",1,2))</f>
      </c>
      <c r="V263" s="5" t="s">
        <v>44</v>
      </c>
      <c r="W263" s="10">
        <f>IF(V263="7–8 hours",0,IF(V263="6–7 hours",1,2))</f>
      </c>
      <c r="X263" s="7" t="s">
        <v>102</v>
      </c>
      <c r="Y263" s="15" t="s">
        <v>64</v>
      </c>
      <c r="Z263" s="7" t="s">
        <v>92</v>
      </c>
      <c r="AA263" s="7" t="s">
        <v>48</v>
      </c>
      <c r="AB263" s="7" t="s">
        <v>42</v>
      </c>
      <c r="AC263" s="7" t="s">
        <v>48</v>
      </c>
      <c r="AD263" s="10">
        <f>I263 + Q263 + U263 + W263</f>
      </c>
      <c r="AE263" s="10">
        <f>IF(AD263&lt;=2,0,IF(AD263&lt;=5,1,2))</f>
      </c>
      <c r="AF263" s="7"/>
    </row>
    <row x14ac:dyDescent="0.25" r="264" customHeight="1" ht="17.25" hidden="1">
      <c r="A264" s="7" t="s">
        <v>31</v>
      </c>
      <c r="B264" s="7" t="s">
        <v>71</v>
      </c>
      <c r="C264" s="7" t="s">
        <v>33</v>
      </c>
      <c r="D264" s="10">
        <v>5</v>
      </c>
      <c r="E264" s="7" t="s">
        <v>34</v>
      </c>
      <c r="F264" s="10">
        <v>182</v>
      </c>
      <c r="G264" s="11">
        <v>110</v>
      </c>
      <c r="H264" s="12">
        <f>G264/((F264/100)*(F264/100))</f>
      </c>
      <c r="I264" s="11">
        <f>IF(H264&lt;25,0,IF(H264&lt;30,1,2))</f>
      </c>
      <c r="J264" s="13">
        <v>1</v>
      </c>
      <c r="K264" s="7" t="s">
        <v>86</v>
      </c>
      <c r="L264" s="7" t="s">
        <v>199</v>
      </c>
      <c r="M264" s="7" t="s">
        <v>185</v>
      </c>
      <c r="N264" s="7" t="s">
        <v>118</v>
      </c>
      <c r="O264" s="7" t="s">
        <v>63</v>
      </c>
      <c r="P264" s="7" t="s">
        <v>81</v>
      </c>
      <c r="Q264" s="10">
        <f>IF(P264="None of the above",0,2)</f>
      </c>
      <c r="R264" s="7" t="s">
        <v>56</v>
      </c>
      <c r="S264" s="15" t="s">
        <v>48</v>
      </c>
      <c r="T264" s="7" t="s">
        <v>96</v>
      </c>
      <c r="U264" s="10">
        <f>IF(T264="Heavy physical",0,IF(T264="Moderate activity",1,2))</f>
      </c>
      <c r="V264" s="5" t="s">
        <v>69</v>
      </c>
      <c r="W264" s="10">
        <f>IF(V264="7–8 hours",0,IF(V264="6–7 hours",1,2))</f>
      </c>
      <c r="X264" s="7" t="s">
        <v>102</v>
      </c>
      <c r="Y264" s="7" t="s">
        <v>58</v>
      </c>
      <c r="Z264" s="7" t="s">
        <v>45</v>
      </c>
      <c r="AA264" s="7" t="s">
        <v>42</v>
      </c>
      <c r="AB264" s="7" t="s">
        <v>48</v>
      </c>
      <c r="AC264" s="7" t="s">
        <v>42</v>
      </c>
      <c r="AD264" s="10">
        <f>I264 + Q264 + U264 + W264</f>
      </c>
      <c r="AE264" s="10">
        <f>IF(AD264&lt;=2,0,IF(AD264&lt;=5,1,2))</f>
      </c>
      <c r="AF264" s="7"/>
    </row>
    <row x14ac:dyDescent="0.25" r="265" customHeight="1" ht="17.25" hidden="1">
      <c r="A265" s="7" t="s">
        <v>49</v>
      </c>
      <c r="B265" s="7" t="s">
        <v>32</v>
      </c>
      <c r="C265" s="7" t="s">
        <v>33</v>
      </c>
      <c r="D265" s="10">
        <v>1</v>
      </c>
      <c r="E265" s="7" t="s">
        <v>51</v>
      </c>
      <c r="F265" s="10">
        <v>176</v>
      </c>
      <c r="G265" s="11">
        <v>70</v>
      </c>
      <c r="H265" s="12">
        <f>G265/((F265/100)*(F265/100))</f>
      </c>
      <c r="I265" s="11">
        <f>IF(H265&lt;25,0,IF(H265&lt;30,1,2))</f>
      </c>
      <c r="J265" s="13">
        <v>1</v>
      </c>
      <c r="K265" s="7" t="s">
        <v>61</v>
      </c>
      <c r="L265" s="7" t="s">
        <v>147</v>
      </c>
      <c r="M265" s="7" t="s">
        <v>54</v>
      </c>
      <c r="N265" s="7" t="s">
        <v>118</v>
      </c>
      <c r="O265" s="7" t="s">
        <v>68</v>
      </c>
      <c r="P265" s="7" t="s">
        <v>81</v>
      </c>
      <c r="Q265" s="10">
        <f>IF(P265="None of the above",0,2)</f>
      </c>
      <c r="R265" s="7" t="s">
        <v>56</v>
      </c>
      <c r="S265" s="15" t="s">
        <v>48</v>
      </c>
      <c r="T265" s="7" t="s">
        <v>96</v>
      </c>
      <c r="U265" s="10">
        <f>IF(T265="Heavy physical",0,IF(T265="Moderate activity",1,2))</f>
      </c>
      <c r="V265" s="5" t="s">
        <v>97</v>
      </c>
      <c r="W265" s="10">
        <f>IF(V265="7–8 hours",0,IF(V265="6–7 hours",1,2))</f>
      </c>
      <c r="X265" s="7" t="s">
        <v>102</v>
      </c>
      <c r="Y265" s="7" t="s">
        <v>58</v>
      </c>
      <c r="Z265" s="7" t="s">
        <v>92</v>
      </c>
      <c r="AA265" s="7" t="s">
        <v>42</v>
      </c>
      <c r="AB265" s="7" t="s">
        <v>42</v>
      </c>
      <c r="AC265" s="7" t="s">
        <v>42</v>
      </c>
      <c r="AD265" s="10">
        <f>I265 + Q265 + U265 + W265</f>
      </c>
      <c r="AE265" s="10">
        <f>IF(AD265&lt;=2,0,IF(AD265&lt;=5,1,2))</f>
      </c>
      <c r="AF265" s="7"/>
    </row>
    <row x14ac:dyDescent="0.25" r="266" customHeight="1" ht="17.25" hidden="1">
      <c r="A266" s="7" t="s">
        <v>31</v>
      </c>
      <c r="B266" s="7" t="s">
        <v>59</v>
      </c>
      <c r="C266" s="7" t="s">
        <v>33</v>
      </c>
      <c r="D266" s="10">
        <v>5</v>
      </c>
      <c r="E266" s="7" t="s">
        <v>34</v>
      </c>
      <c r="F266" s="10">
        <v>187</v>
      </c>
      <c r="G266" s="11">
        <v>70</v>
      </c>
      <c r="H266" s="12">
        <f>G266/((F266/100)*(F266/100))</f>
      </c>
      <c r="I266" s="11">
        <f>IF(H266&lt;25,0,IF(H266&lt;30,1,2))</f>
      </c>
      <c r="J266" s="13">
        <v>1</v>
      </c>
      <c r="K266" s="7" t="s">
        <v>35</v>
      </c>
      <c r="L266" s="7" t="s">
        <v>94</v>
      </c>
      <c r="M266" s="7" t="s">
        <v>185</v>
      </c>
      <c r="N266" s="7" t="s">
        <v>118</v>
      </c>
      <c r="O266" s="7" t="s">
        <v>74</v>
      </c>
      <c r="P266" s="7" t="s">
        <v>40</v>
      </c>
      <c r="Q266" s="10">
        <f>IF(P266="None of the above",0,2)</f>
      </c>
      <c r="R266" s="7" t="s">
        <v>56</v>
      </c>
      <c r="S266" s="15" t="s">
        <v>48</v>
      </c>
      <c r="T266" s="7" t="s">
        <v>99</v>
      </c>
      <c r="U266" s="10">
        <f>IF(T266="Heavy physical",0,IF(T266="Moderate activity",1,2))</f>
      </c>
      <c r="V266" s="5" t="s">
        <v>97</v>
      </c>
      <c r="W266" s="10">
        <f>IF(V266="7–8 hours",0,IF(V266="6–7 hours",1,2))</f>
      </c>
      <c r="X266" s="7" t="s">
        <v>70</v>
      </c>
      <c r="Y266" s="15" t="s">
        <v>64</v>
      </c>
      <c r="Z266" s="7" t="s">
        <v>65</v>
      </c>
      <c r="AA266" s="7" t="s">
        <v>42</v>
      </c>
      <c r="AB266" s="7" t="s">
        <v>48</v>
      </c>
      <c r="AC266" s="7" t="s">
        <v>48</v>
      </c>
      <c r="AD266" s="10">
        <f>I266 + Q266 + U266 + W266</f>
      </c>
      <c r="AE266" s="10">
        <f>IF(AD266&lt;=2,0,IF(AD266&lt;=5,1,2))</f>
      </c>
      <c r="AF266" s="7"/>
    </row>
    <row x14ac:dyDescent="0.25" r="267" customHeight="1" ht="17.25" hidden="1">
      <c r="A267" s="7" t="s">
        <v>192</v>
      </c>
      <c r="B267" s="7" t="s">
        <v>77</v>
      </c>
      <c r="C267" s="7" t="s">
        <v>33</v>
      </c>
      <c r="D267" s="10">
        <v>8</v>
      </c>
      <c r="E267" s="7" t="s">
        <v>34</v>
      </c>
      <c r="F267" s="10">
        <v>145</v>
      </c>
      <c r="G267" s="11">
        <v>103</v>
      </c>
      <c r="H267" s="12">
        <f>G267/((F267/100)*(F267/100))</f>
      </c>
      <c r="I267" s="11">
        <f>IF(H267&lt;25,0,IF(H267&lt;30,1,2))</f>
      </c>
      <c r="J267" s="13">
        <v>3</v>
      </c>
      <c r="K267" s="7" t="s">
        <v>105</v>
      </c>
      <c r="L267" s="7" t="s">
        <v>108</v>
      </c>
      <c r="M267" s="7" t="s">
        <v>185</v>
      </c>
      <c r="N267" s="7" t="s">
        <v>118</v>
      </c>
      <c r="O267" s="7" t="s">
        <v>74</v>
      </c>
      <c r="P267" s="7" t="s">
        <v>81</v>
      </c>
      <c r="Q267" s="10">
        <f>IF(P267="None of the above",0,2)</f>
      </c>
      <c r="R267" s="7" t="s">
        <v>56</v>
      </c>
      <c r="S267" s="7" t="s">
        <v>42</v>
      </c>
      <c r="T267" s="7" t="s">
        <v>96</v>
      </c>
      <c r="U267" s="10">
        <f>IF(T267="Heavy physical",0,IF(T267="Moderate activity",1,2))</f>
      </c>
      <c r="V267" s="5" t="s">
        <v>57</v>
      </c>
      <c r="W267" s="10">
        <f>IF(V267="7–8 hours",0,IF(V267="6–7 hours",1,2))</f>
      </c>
      <c r="X267" s="7" t="s">
        <v>83</v>
      </c>
      <c r="Y267" s="7" t="s">
        <v>75</v>
      </c>
      <c r="Z267" s="7" t="s">
        <v>47</v>
      </c>
      <c r="AA267" s="7" t="s">
        <v>48</v>
      </c>
      <c r="AB267" s="7" t="s">
        <v>48</v>
      </c>
      <c r="AC267" s="7" t="s">
        <v>48</v>
      </c>
      <c r="AD267" s="10">
        <f>I267 + Q267 + U267 + W267</f>
      </c>
      <c r="AE267" s="10">
        <f>IF(AD267&lt;=2,0,IF(AD267&lt;=5,1,2))</f>
      </c>
      <c r="AF267" s="7"/>
    </row>
    <row x14ac:dyDescent="0.25" r="268" customHeight="1" ht="17.25" hidden="1">
      <c r="A268" s="7" t="s">
        <v>76</v>
      </c>
      <c r="B268" s="7" t="s">
        <v>93</v>
      </c>
      <c r="C268" s="7" t="s">
        <v>33</v>
      </c>
      <c r="D268" s="10">
        <v>6</v>
      </c>
      <c r="E268" s="7" t="s">
        <v>51</v>
      </c>
      <c r="F268" s="10">
        <v>155</v>
      </c>
      <c r="G268" s="11">
        <v>59</v>
      </c>
      <c r="H268" s="12">
        <f>G268/((F268/100)*(F268/100))</f>
      </c>
      <c r="I268" s="11">
        <f>IF(H268&lt;25,0,IF(H268&lt;30,1,2))</f>
      </c>
      <c r="J268" s="13">
        <v>3</v>
      </c>
      <c r="K268" s="7" t="s">
        <v>52</v>
      </c>
      <c r="L268" s="7" t="s">
        <v>200</v>
      </c>
      <c r="M268" s="7" t="s">
        <v>54</v>
      </c>
      <c r="N268" s="7" t="s">
        <v>118</v>
      </c>
      <c r="O268" s="7" t="s">
        <v>74</v>
      </c>
      <c r="P268" s="7" t="s">
        <v>40</v>
      </c>
      <c r="Q268" s="10">
        <f>IF(P268="None of the above",0,2)</f>
      </c>
      <c r="R268" s="7" t="s">
        <v>56</v>
      </c>
      <c r="S268" s="15" t="s">
        <v>48</v>
      </c>
      <c r="T268" s="7" t="s">
        <v>96</v>
      </c>
      <c r="U268" s="10">
        <f>IF(T268="Heavy physical",0,IF(T268="Moderate activity",1,2))</f>
      </c>
      <c r="V268" s="5" t="s">
        <v>57</v>
      </c>
      <c r="W268" s="10">
        <f>IF(V268="7–8 hours",0,IF(V268="6–7 hours",1,2))</f>
      </c>
      <c r="X268" s="7" t="s">
        <v>102</v>
      </c>
      <c r="Y268" s="15" t="s">
        <v>64</v>
      </c>
      <c r="Z268" s="7" t="s">
        <v>92</v>
      </c>
      <c r="AA268" s="7" t="s">
        <v>42</v>
      </c>
      <c r="AB268" s="7" t="s">
        <v>42</v>
      </c>
      <c r="AC268" s="7" t="s">
        <v>42</v>
      </c>
      <c r="AD268" s="10">
        <f>I268 + Q268 + U268 + W268</f>
      </c>
      <c r="AE268" s="10">
        <f>IF(AD268&lt;=2,0,IF(AD268&lt;=5,1,2))</f>
      </c>
      <c r="AF268" s="7"/>
    </row>
    <row x14ac:dyDescent="0.25" r="269" customHeight="1" ht="17.25" hidden="1">
      <c r="A269" s="7" t="s">
        <v>76</v>
      </c>
      <c r="B269" s="7" t="s">
        <v>59</v>
      </c>
      <c r="C269" s="7" t="s">
        <v>33</v>
      </c>
      <c r="D269" s="10">
        <v>6</v>
      </c>
      <c r="E269" s="7" t="s">
        <v>51</v>
      </c>
      <c r="F269" s="10">
        <v>157</v>
      </c>
      <c r="G269" s="11">
        <v>96</v>
      </c>
      <c r="H269" s="12">
        <f>G269/((F269/100)*(F269/100))</f>
      </c>
      <c r="I269" s="11">
        <f>IF(H269&lt;25,0,IF(H269&lt;30,1,2))</f>
      </c>
      <c r="J269" s="13">
        <v>3</v>
      </c>
      <c r="K269" s="7" t="s">
        <v>105</v>
      </c>
      <c r="L269" s="7" t="s">
        <v>157</v>
      </c>
      <c r="M269" s="7" t="s">
        <v>54</v>
      </c>
      <c r="N269" s="7" t="s">
        <v>118</v>
      </c>
      <c r="O269" s="7" t="s">
        <v>63</v>
      </c>
      <c r="P269" s="7" t="s">
        <v>81</v>
      </c>
      <c r="Q269" s="10">
        <f>IF(P269="None of the above",0,2)</f>
      </c>
      <c r="R269" s="7" t="s">
        <v>56</v>
      </c>
      <c r="S269" s="15" t="s">
        <v>48</v>
      </c>
      <c r="T269" s="7" t="s">
        <v>96</v>
      </c>
      <c r="U269" s="10">
        <f>IF(T269="Heavy physical",0,IF(T269="Moderate activity",1,2))</f>
      </c>
      <c r="V269" s="5" t="s">
        <v>97</v>
      </c>
      <c r="W269" s="10">
        <f>IF(V269="7–8 hours",0,IF(V269="6–7 hours",1,2))</f>
      </c>
      <c r="X269" s="7" t="s">
        <v>83</v>
      </c>
      <c r="Y269" s="7" t="s">
        <v>58</v>
      </c>
      <c r="Z269" s="7" t="s">
        <v>45</v>
      </c>
      <c r="AA269" s="7" t="s">
        <v>42</v>
      </c>
      <c r="AB269" s="7" t="s">
        <v>42</v>
      </c>
      <c r="AC269" s="7" t="s">
        <v>42</v>
      </c>
      <c r="AD269" s="10">
        <f>I269 + Q269 + U269 + W269</f>
      </c>
      <c r="AE269" s="10">
        <f>IF(AD269&lt;=2,0,IF(AD269&lt;=5,1,2))</f>
      </c>
      <c r="AF269" s="7"/>
    </row>
    <row x14ac:dyDescent="0.25" r="270" customHeight="1" ht="17.25" hidden="1">
      <c r="A270" s="7" t="s">
        <v>31</v>
      </c>
      <c r="B270" s="7" t="s">
        <v>93</v>
      </c>
      <c r="C270" s="7" t="s">
        <v>33</v>
      </c>
      <c r="D270" s="10">
        <v>2</v>
      </c>
      <c r="E270" s="7" t="s">
        <v>51</v>
      </c>
      <c r="F270" s="10">
        <v>192</v>
      </c>
      <c r="G270" s="11">
        <v>106</v>
      </c>
      <c r="H270" s="12">
        <f>G270/((F270/100)*(F270/100))</f>
      </c>
      <c r="I270" s="11">
        <f>IF(H270&lt;25,0,IF(H270&lt;30,1,2))</f>
      </c>
      <c r="J270" s="13">
        <v>3</v>
      </c>
      <c r="K270" s="7" t="s">
        <v>105</v>
      </c>
      <c r="L270" s="7" t="s">
        <v>133</v>
      </c>
      <c r="M270" s="7" t="s">
        <v>54</v>
      </c>
      <c r="N270" s="7" t="s">
        <v>118</v>
      </c>
      <c r="O270" s="7" t="s">
        <v>80</v>
      </c>
      <c r="P270" s="7" t="s">
        <v>81</v>
      </c>
      <c r="Q270" s="10">
        <f>IF(P270="None of the above",0,2)</f>
      </c>
      <c r="R270" s="7" t="s">
        <v>56</v>
      </c>
      <c r="S270" s="7" t="s">
        <v>42</v>
      </c>
      <c r="T270" s="7" t="s">
        <v>99</v>
      </c>
      <c r="U270" s="10">
        <f>IF(T270="Heavy physical",0,IF(T270="Moderate activity",1,2))</f>
      </c>
      <c r="V270" s="5" t="s">
        <v>97</v>
      </c>
      <c r="W270" s="10">
        <f>IF(V270="7–8 hours",0,IF(V270="6–7 hours",1,2))</f>
      </c>
      <c r="X270" s="7" t="s">
        <v>102</v>
      </c>
      <c r="Y270" s="7" t="s">
        <v>75</v>
      </c>
      <c r="Z270" s="7" t="s">
        <v>47</v>
      </c>
      <c r="AA270" s="7" t="s">
        <v>42</v>
      </c>
      <c r="AB270" s="7" t="s">
        <v>42</v>
      </c>
      <c r="AC270" s="7" t="s">
        <v>42</v>
      </c>
      <c r="AD270" s="10">
        <f>I270 + Q270 + U270 + W270</f>
      </c>
      <c r="AE270" s="10">
        <f>IF(AD270&lt;=2,0,IF(AD270&lt;=5,1,2))</f>
      </c>
      <c r="AF270" s="7"/>
    </row>
    <row x14ac:dyDescent="0.25" r="271" customHeight="1" ht="17.25" hidden="1">
      <c r="A271" s="7" t="s">
        <v>49</v>
      </c>
      <c r="B271" s="7" t="s">
        <v>77</v>
      </c>
      <c r="C271" s="7" t="s">
        <v>33</v>
      </c>
      <c r="D271" s="10">
        <v>7</v>
      </c>
      <c r="E271" s="7" t="s">
        <v>51</v>
      </c>
      <c r="F271" s="10">
        <v>192</v>
      </c>
      <c r="G271" s="11">
        <v>102</v>
      </c>
      <c r="H271" s="12">
        <f>G271/((F271/100)*(F271/100))</f>
      </c>
      <c r="I271" s="11">
        <f>IF(H271&lt;25,0,IF(H271&lt;30,1,2))</f>
      </c>
      <c r="J271" s="13">
        <v>1</v>
      </c>
      <c r="K271" s="7" t="s">
        <v>61</v>
      </c>
      <c r="L271" s="7" t="s">
        <v>170</v>
      </c>
      <c r="M271" s="7" t="s">
        <v>185</v>
      </c>
      <c r="N271" s="7" t="s">
        <v>118</v>
      </c>
      <c r="O271" s="7" t="s">
        <v>39</v>
      </c>
      <c r="P271" s="7" t="s">
        <v>40</v>
      </c>
      <c r="Q271" s="10">
        <f>IF(P271="None of the above",0,2)</f>
      </c>
      <c r="R271" s="7" t="s">
        <v>56</v>
      </c>
      <c r="S271" s="15" t="s">
        <v>48</v>
      </c>
      <c r="T271" s="7" t="s">
        <v>96</v>
      </c>
      <c r="U271" s="10">
        <f>IF(T271="Heavy physical",0,IF(T271="Moderate activity",1,2))</f>
      </c>
      <c r="V271" s="5" t="s">
        <v>44</v>
      </c>
      <c r="W271" s="10">
        <f>IF(V271="7–8 hours",0,IF(V271="6–7 hours",1,2))</f>
      </c>
      <c r="X271" s="7" t="s">
        <v>83</v>
      </c>
      <c r="Y271" s="7" t="s">
        <v>75</v>
      </c>
      <c r="Z271" s="7" t="s">
        <v>47</v>
      </c>
      <c r="AA271" s="7" t="s">
        <v>42</v>
      </c>
      <c r="AB271" s="7" t="s">
        <v>42</v>
      </c>
      <c r="AC271" s="7" t="s">
        <v>42</v>
      </c>
      <c r="AD271" s="10">
        <f>I271 + Q271 + U271 + W271</f>
      </c>
      <c r="AE271" s="10">
        <f>IF(AD271&lt;=2,0,IF(AD271&lt;=5,1,2))</f>
      </c>
      <c r="AF271" s="7"/>
    </row>
    <row x14ac:dyDescent="0.25" r="272" customHeight="1" ht="17.25" hidden="1">
      <c r="A272" s="7" t="s">
        <v>31</v>
      </c>
      <c r="B272" s="7" t="s">
        <v>71</v>
      </c>
      <c r="C272" s="7" t="s">
        <v>33</v>
      </c>
      <c r="D272" s="10">
        <v>8</v>
      </c>
      <c r="E272" s="7" t="s">
        <v>34</v>
      </c>
      <c r="F272" s="10">
        <v>168</v>
      </c>
      <c r="G272" s="11">
        <v>54</v>
      </c>
      <c r="H272" s="12">
        <f>G272/((F272/100)*(F272/100))</f>
      </c>
      <c r="I272" s="11">
        <f>IF(H272&lt;25,0,IF(H272&lt;30,1,2))</f>
      </c>
      <c r="J272" s="13">
        <v>3</v>
      </c>
      <c r="K272" s="7" t="s">
        <v>86</v>
      </c>
      <c r="L272" s="7" t="s">
        <v>111</v>
      </c>
      <c r="M272" s="7" t="s">
        <v>41</v>
      </c>
      <c r="N272" s="7" t="s">
        <v>118</v>
      </c>
      <c r="O272" s="7" t="s">
        <v>68</v>
      </c>
      <c r="P272" s="7" t="s">
        <v>81</v>
      </c>
      <c r="Q272" s="10">
        <f>IF(P272="None of the above",0,2)</f>
      </c>
      <c r="R272" s="7" t="s">
        <v>56</v>
      </c>
      <c r="S272" s="7" t="s">
        <v>42</v>
      </c>
      <c r="T272" s="7" t="s">
        <v>96</v>
      </c>
      <c r="U272" s="10">
        <f>IF(T272="Heavy physical",0,IF(T272="Moderate activity",1,2))</f>
      </c>
      <c r="V272" s="5" t="s">
        <v>44</v>
      </c>
      <c r="W272" s="10">
        <f>IF(V272="7–8 hours",0,IF(V272="6–7 hours",1,2))</f>
      </c>
      <c r="X272" s="7" t="s">
        <v>102</v>
      </c>
      <c r="Y272" s="7" t="s">
        <v>75</v>
      </c>
      <c r="Z272" s="7" t="s">
        <v>47</v>
      </c>
      <c r="AA272" s="7" t="s">
        <v>42</v>
      </c>
      <c r="AB272" s="7" t="s">
        <v>42</v>
      </c>
      <c r="AC272" s="7" t="s">
        <v>48</v>
      </c>
      <c r="AD272" s="10">
        <f>I272 + Q272 + U272 + W272</f>
      </c>
      <c r="AE272" s="10">
        <f>IF(AD272&lt;=2,0,IF(AD272&lt;=5,1,2))</f>
      </c>
      <c r="AF272" s="7"/>
    </row>
    <row x14ac:dyDescent="0.25" r="273" customHeight="1" ht="17.25" hidden="1">
      <c r="A273" s="7" t="s">
        <v>76</v>
      </c>
      <c r="B273" s="7" t="s">
        <v>59</v>
      </c>
      <c r="C273" s="7" t="s">
        <v>141</v>
      </c>
      <c r="D273" s="10">
        <v>1</v>
      </c>
      <c r="E273" s="7" t="s">
        <v>51</v>
      </c>
      <c r="F273" s="10">
        <v>175</v>
      </c>
      <c r="G273" s="11">
        <v>80</v>
      </c>
      <c r="H273" s="12">
        <f>G273/((F273/100)*(F273/100))</f>
      </c>
      <c r="I273" s="11">
        <f>IF(H273&lt;25,0,IF(H273&lt;30,1,2))</f>
      </c>
      <c r="J273" s="13">
        <v>3</v>
      </c>
      <c r="K273" s="7" t="s">
        <v>35</v>
      </c>
      <c r="L273" s="7" t="s">
        <v>183</v>
      </c>
      <c r="M273" s="7" t="s">
        <v>185</v>
      </c>
      <c r="N273" s="7" t="s">
        <v>118</v>
      </c>
      <c r="O273" s="7" t="s">
        <v>74</v>
      </c>
      <c r="P273" s="7" t="s">
        <v>55</v>
      </c>
      <c r="Q273" s="10">
        <f>IF(P273="None of the above",0,2)</f>
      </c>
      <c r="R273" s="7" t="s">
        <v>56</v>
      </c>
      <c r="S273" s="15" t="s">
        <v>48</v>
      </c>
      <c r="T273" s="7" t="s">
        <v>96</v>
      </c>
      <c r="U273" s="10">
        <f>IF(T273="Heavy physical",0,IF(T273="Moderate activity",1,2))</f>
      </c>
      <c r="V273" s="5" t="s">
        <v>57</v>
      </c>
      <c r="W273" s="10">
        <f>IF(V273="7–8 hours",0,IF(V273="6–7 hours",1,2))</f>
      </c>
      <c r="X273" s="7" t="s">
        <v>45</v>
      </c>
      <c r="Y273" s="7" t="s">
        <v>75</v>
      </c>
      <c r="Z273" s="7" t="s">
        <v>47</v>
      </c>
      <c r="AA273" s="7" t="s">
        <v>42</v>
      </c>
      <c r="AB273" s="7" t="s">
        <v>42</v>
      </c>
      <c r="AC273" s="7" t="s">
        <v>42</v>
      </c>
      <c r="AD273" s="10">
        <f>I273 + Q273 + U273 + W273</f>
      </c>
      <c r="AE273" s="10">
        <f>IF(AD273&lt;=2,0,IF(AD273&lt;=5,1,2))</f>
      </c>
      <c r="AF273" s="7"/>
    </row>
    <row x14ac:dyDescent="0.25" r="274" customHeight="1" ht="17.25" hidden="1">
      <c r="A274" s="7" t="s">
        <v>49</v>
      </c>
      <c r="B274" s="7" t="s">
        <v>77</v>
      </c>
      <c r="C274" s="15" t="s">
        <v>110</v>
      </c>
      <c r="D274" s="10">
        <v>5</v>
      </c>
      <c r="E274" s="7" t="s">
        <v>34</v>
      </c>
      <c r="F274" s="10">
        <v>153</v>
      </c>
      <c r="G274" s="11">
        <v>64</v>
      </c>
      <c r="H274" s="12">
        <f>G274/((F274/100)*(F274/100))</f>
      </c>
      <c r="I274" s="11">
        <f>IF(H274&lt;25,0,IF(H274&lt;30,1,2))</f>
      </c>
      <c r="J274" s="13">
        <v>3</v>
      </c>
      <c r="K274" s="7" t="s">
        <v>72</v>
      </c>
      <c r="L274" s="7" t="s">
        <v>193</v>
      </c>
      <c r="M274" s="7" t="s">
        <v>41</v>
      </c>
      <c r="N274" s="7" t="s">
        <v>118</v>
      </c>
      <c r="O274" s="7" t="s">
        <v>68</v>
      </c>
      <c r="P274" s="7" t="s">
        <v>81</v>
      </c>
      <c r="Q274" s="10">
        <f>IF(P274="None of the above",0,2)</f>
      </c>
      <c r="R274" s="7" t="s">
        <v>56</v>
      </c>
      <c r="S274" s="15" t="s">
        <v>48</v>
      </c>
      <c r="T274" s="7" t="s">
        <v>96</v>
      </c>
      <c r="U274" s="10">
        <f>IF(T274="Heavy physical",0,IF(T274="Moderate activity",1,2))</f>
      </c>
      <c r="V274" s="5" t="s">
        <v>57</v>
      </c>
      <c r="W274" s="10">
        <f>IF(V274="7–8 hours",0,IF(V274="6–7 hours",1,2))</f>
      </c>
      <c r="X274" s="7" t="s">
        <v>45</v>
      </c>
      <c r="Y274" s="15" t="s">
        <v>64</v>
      </c>
      <c r="Z274" s="7" t="s">
        <v>47</v>
      </c>
      <c r="AA274" s="7" t="s">
        <v>42</v>
      </c>
      <c r="AB274" s="7" t="s">
        <v>48</v>
      </c>
      <c r="AC274" s="7" t="s">
        <v>42</v>
      </c>
      <c r="AD274" s="10">
        <f>I274 + Q274 + U274 + W274</f>
      </c>
      <c r="AE274" s="10">
        <f>IF(AD274&lt;=2,0,IF(AD274&lt;=5,1,2))</f>
      </c>
      <c r="AF274" s="7"/>
    </row>
    <row x14ac:dyDescent="0.25" r="275" customHeight="1" ht="17.25" hidden="1">
      <c r="A275" s="7" t="s">
        <v>76</v>
      </c>
      <c r="B275" s="7" t="s">
        <v>66</v>
      </c>
      <c r="C275" s="7" t="s">
        <v>120</v>
      </c>
      <c r="D275" s="10">
        <v>5</v>
      </c>
      <c r="E275" s="7" t="s">
        <v>51</v>
      </c>
      <c r="F275" s="10">
        <v>176</v>
      </c>
      <c r="G275" s="11">
        <v>66</v>
      </c>
      <c r="H275" s="12">
        <f>G275/((F275/100)*(F275/100))</f>
      </c>
      <c r="I275" s="11">
        <f>IF(H275&lt;25,0,IF(H275&lt;30,1,2))</f>
      </c>
      <c r="J275" s="13">
        <v>3</v>
      </c>
      <c r="K275" s="7" t="s">
        <v>72</v>
      </c>
      <c r="L275" s="7" t="s">
        <v>193</v>
      </c>
      <c r="M275" s="7" t="s">
        <v>41</v>
      </c>
      <c r="N275" s="7" t="s">
        <v>118</v>
      </c>
      <c r="O275" s="7" t="s">
        <v>63</v>
      </c>
      <c r="P275" s="15" t="s">
        <v>132</v>
      </c>
      <c r="Q275" s="10">
        <f>IF(P275="None of the above",0,2)</f>
      </c>
      <c r="R275" s="7" t="s">
        <v>56</v>
      </c>
      <c r="S275" s="7" t="s">
        <v>42</v>
      </c>
      <c r="T275" s="7" t="s">
        <v>96</v>
      </c>
      <c r="U275" s="10">
        <f>IF(T275="Heavy physical",0,IF(T275="Moderate activity",1,2))</f>
      </c>
      <c r="V275" s="5" t="s">
        <v>57</v>
      </c>
      <c r="W275" s="10">
        <f>IF(V275="7–8 hours",0,IF(V275="6–7 hours",1,2))</f>
      </c>
      <c r="X275" s="7" t="s">
        <v>83</v>
      </c>
      <c r="Y275" s="7" t="s">
        <v>58</v>
      </c>
      <c r="Z275" s="7" t="s">
        <v>92</v>
      </c>
      <c r="AA275" s="7" t="s">
        <v>42</v>
      </c>
      <c r="AB275" s="7" t="s">
        <v>42</v>
      </c>
      <c r="AC275" s="7" t="s">
        <v>42</v>
      </c>
      <c r="AD275" s="10">
        <f>I275 + Q275 + U275 + W275</f>
      </c>
      <c r="AE275" s="10">
        <f>IF(AD275&lt;=2,0,IF(AD275&lt;=5,1,2))</f>
      </c>
      <c r="AF275" s="7"/>
    </row>
    <row x14ac:dyDescent="0.25" r="276" customHeight="1" ht="17.25" hidden="1">
      <c r="A276" s="7" t="s">
        <v>49</v>
      </c>
      <c r="B276" s="7" t="s">
        <v>84</v>
      </c>
      <c r="C276" s="7" t="s">
        <v>50</v>
      </c>
      <c r="D276" s="10">
        <v>7</v>
      </c>
      <c r="E276" s="7" t="s">
        <v>34</v>
      </c>
      <c r="F276" s="10">
        <v>145</v>
      </c>
      <c r="G276" s="11">
        <v>104</v>
      </c>
      <c r="H276" s="12">
        <f>G276/((F276/100)*(F276/100))</f>
      </c>
      <c r="I276" s="11">
        <f>IF(H276&lt;25,0,IF(H276&lt;30,1,2))</f>
      </c>
      <c r="J276" s="13">
        <v>3</v>
      </c>
      <c r="K276" s="7" t="s">
        <v>61</v>
      </c>
      <c r="L276" s="7" t="s">
        <v>108</v>
      </c>
      <c r="M276" s="7" t="s">
        <v>54</v>
      </c>
      <c r="N276" s="7" t="s">
        <v>201</v>
      </c>
      <c r="O276" s="7" t="s">
        <v>74</v>
      </c>
      <c r="P276" s="7" t="s">
        <v>81</v>
      </c>
      <c r="Q276" s="10">
        <f>IF(P276="None of the above",0,2)</f>
      </c>
      <c r="R276" s="7" t="s">
        <v>56</v>
      </c>
      <c r="S276" s="15" t="s">
        <v>48</v>
      </c>
      <c r="T276" s="7" t="s">
        <v>99</v>
      </c>
      <c r="U276" s="10">
        <f>IF(T276="Heavy physical",0,IF(T276="Moderate activity",1,2))</f>
      </c>
      <c r="V276" s="5" t="s">
        <v>57</v>
      </c>
      <c r="W276" s="10">
        <f>IF(V276="7–8 hours",0,IF(V276="6–7 hours",1,2))</f>
      </c>
      <c r="X276" s="7" t="s">
        <v>70</v>
      </c>
      <c r="Y276" s="15" t="s">
        <v>64</v>
      </c>
      <c r="Z276" s="7" t="s">
        <v>65</v>
      </c>
      <c r="AA276" s="7" t="s">
        <v>48</v>
      </c>
      <c r="AB276" s="7" t="s">
        <v>42</v>
      </c>
      <c r="AC276" s="7" t="s">
        <v>48</v>
      </c>
      <c r="AD276" s="10">
        <f>I276 + Q276 + U276 + W276</f>
      </c>
      <c r="AE276" s="10">
        <f>IF(AD276&lt;=2,0,IF(AD276&lt;=5,1,2))</f>
      </c>
      <c r="AF276" s="7"/>
    </row>
    <row x14ac:dyDescent="0.25" r="277" customHeight="1" ht="17.25" hidden="1">
      <c r="A277" s="7" t="s">
        <v>31</v>
      </c>
      <c r="B277" s="7" t="s">
        <v>84</v>
      </c>
      <c r="C277" s="7" t="s">
        <v>120</v>
      </c>
      <c r="D277" s="10">
        <v>4</v>
      </c>
      <c r="E277" s="7" t="s">
        <v>34</v>
      </c>
      <c r="F277" s="10">
        <v>146</v>
      </c>
      <c r="G277" s="11">
        <v>120</v>
      </c>
      <c r="H277" s="12">
        <f>G277/((F277/100)*(F277/100))</f>
      </c>
      <c r="I277" s="11">
        <f>IF(H277&lt;25,0,IF(H277&lt;30,1,2))</f>
      </c>
      <c r="J277" s="13">
        <v>3</v>
      </c>
      <c r="K277" s="7" t="s">
        <v>105</v>
      </c>
      <c r="L277" s="7" t="s">
        <v>36</v>
      </c>
      <c r="M277" s="7" t="s">
        <v>185</v>
      </c>
      <c r="N277" s="7" t="s">
        <v>201</v>
      </c>
      <c r="O277" s="7" t="s">
        <v>80</v>
      </c>
      <c r="P277" s="7" t="s">
        <v>81</v>
      </c>
      <c r="Q277" s="10">
        <f>IF(P277="None of the above",0,2)</f>
      </c>
      <c r="R277" s="7" t="s">
        <v>89</v>
      </c>
      <c r="S277" s="15" t="s">
        <v>48</v>
      </c>
      <c r="T277" s="7" t="s">
        <v>96</v>
      </c>
      <c r="U277" s="10">
        <f>IF(T277="Heavy physical",0,IF(T277="Moderate activity",1,2))</f>
      </c>
      <c r="V277" s="5" t="s">
        <v>69</v>
      </c>
      <c r="W277" s="10">
        <f>IF(V277="7–8 hours",0,IF(V277="6–7 hours",1,2))</f>
      </c>
      <c r="X277" s="7" t="s">
        <v>45</v>
      </c>
      <c r="Y277" s="7" t="s">
        <v>58</v>
      </c>
      <c r="Z277" s="7" t="s">
        <v>45</v>
      </c>
      <c r="AA277" s="7" t="s">
        <v>42</v>
      </c>
      <c r="AB277" s="7" t="s">
        <v>48</v>
      </c>
      <c r="AC277" s="7" t="s">
        <v>42</v>
      </c>
      <c r="AD277" s="10">
        <f>I277 + Q277 + U277 + W277</f>
      </c>
      <c r="AE277" s="10">
        <f>IF(AD277&lt;=2,0,IF(AD277&lt;=5,1,2))</f>
      </c>
      <c r="AF277" s="7"/>
    </row>
    <row x14ac:dyDescent="0.25" r="278" customHeight="1" ht="17.25" hidden="1">
      <c r="A278" s="7" t="s">
        <v>31</v>
      </c>
      <c r="B278" s="7" t="s">
        <v>93</v>
      </c>
      <c r="C278" s="15" t="s">
        <v>110</v>
      </c>
      <c r="D278" s="10">
        <v>2</v>
      </c>
      <c r="E278" s="7" t="s">
        <v>51</v>
      </c>
      <c r="F278" s="10">
        <v>166</v>
      </c>
      <c r="G278" s="11">
        <v>81</v>
      </c>
      <c r="H278" s="12">
        <f>G278/((F278/100)*(F278/100))</f>
      </c>
      <c r="I278" s="11">
        <f>IF(H278&lt;25,0,IF(H278&lt;30,1,2))</f>
      </c>
      <c r="J278" s="13">
        <v>3</v>
      </c>
      <c r="K278" s="7" t="s">
        <v>105</v>
      </c>
      <c r="L278" s="7" t="s">
        <v>183</v>
      </c>
      <c r="M278" s="7" t="s">
        <v>41</v>
      </c>
      <c r="N278" s="7" t="s">
        <v>201</v>
      </c>
      <c r="O278" s="7" t="s">
        <v>80</v>
      </c>
      <c r="P278" s="7" t="s">
        <v>40</v>
      </c>
      <c r="Q278" s="10">
        <f>IF(P278="None of the above",0,2)</f>
      </c>
      <c r="R278" s="7" t="s">
        <v>56</v>
      </c>
      <c r="S278" s="7" t="s">
        <v>42</v>
      </c>
      <c r="T278" s="7" t="s">
        <v>96</v>
      </c>
      <c r="U278" s="10">
        <f>IF(T278="Heavy physical",0,IF(T278="Moderate activity",1,2))</f>
      </c>
      <c r="V278" s="5" t="s">
        <v>97</v>
      </c>
      <c r="W278" s="10">
        <f>IF(V278="7–8 hours",0,IF(V278="6–7 hours",1,2))</f>
      </c>
      <c r="X278" s="7" t="s">
        <v>102</v>
      </c>
      <c r="Y278" s="15" t="s">
        <v>64</v>
      </c>
      <c r="Z278" s="7" t="s">
        <v>65</v>
      </c>
      <c r="AA278" s="7" t="s">
        <v>42</v>
      </c>
      <c r="AB278" s="7" t="s">
        <v>42</v>
      </c>
      <c r="AC278" s="7" t="s">
        <v>42</v>
      </c>
      <c r="AD278" s="10">
        <f>I278 + Q278 + U278 + W278</f>
      </c>
      <c r="AE278" s="10">
        <f>IF(AD278&lt;=2,0,IF(AD278&lt;=5,1,2))</f>
      </c>
      <c r="AF278" s="7"/>
    </row>
    <row x14ac:dyDescent="0.25" r="279" customHeight="1" ht="17.25" hidden="1">
      <c r="A279" s="7" t="s">
        <v>149</v>
      </c>
      <c r="B279" s="7" t="s">
        <v>71</v>
      </c>
      <c r="C279" s="16" t="s">
        <v>202</v>
      </c>
      <c r="D279" s="10">
        <v>7</v>
      </c>
      <c r="E279" s="7" t="s">
        <v>34</v>
      </c>
      <c r="F279" s="10">
        <v>151</v>
      </c>
      <c r="G279" s="11">
        <v>71</v>
      </c>
      <c r="H279" s="12">
        <f>G279/((F279/100)*(F279/100))</f>
      </c>
      <c r="I279" s="11">
        <f>IF(H279&lt;25,0,IF(H279&lt;30,1,2))</f>
      </c>
      <c r="J279" s="13">
        <v>2</v>
      </c>
      <c r="K279" s="7" t="s">
        <v>72</v>
      </c>
      <c r="L279" s="7" t="s">
        <v>133</v>
      </c>
      <c r="M279" s="7" t="s">
        <v>41</v>
      </c>
      <c r="N279" s="7" t="s">
        <v>201</v>
      </c>
      <c r="O279" s="7" t="s">
        <v>68</v>
      </c>
      <c r="P279" s="7" t="s">
        <v>81</v>
      </c>
      <c r="Q279" s="10">
        <f>IF(P279="None of the above",0,2)</f>
      </c>
      <c r="R279" s="7" t="s">
        <v>89</v>
      </c>
      <c r="S279" s="7" t="s">
        <v>42</v>
      </c>
      <c r="T279" s="7" t="s">
        <v>96</v>
      </c>
      <c r="U279" s="10">
        <f>IF(T279="Heavy physical",0,IF(T279="Moderate activity",1,2))</f>
      </c>
      <c r="V279" s="5" t="s">
        <v>57</v>
      </c>
      <c r="W279" s="10">
        <f>IF(V279="7–8 hours",0,IF(V279="6–7 hours",1,2))</f>
      </c>
      <c r="X279" s="7" t="s">
        <v>102</v>
      </c>
      <c r="Y279" s="15" t="s">
        <v>64</v>
      </c>
      <c r="Z279" s="7" t="s">
        <v>45</v>
      </c>
      <c r="AA279" s="7" t="s">
        <v>42</v>
      </c>
      <c r="AB279" s="7" t="s">
        <v>42</v>
      </c>
      <c r="AC279" s="7" t="s">
        <v>42</v>
      </c>
      <c r="AD279" s="10">
        <f>I279 + Q279 + U279 + W279</f>
      </c>
      <c r="AE279" s="10">
        <f>IF(AD279&lt;=2,0,IF(AD279&lt;=5,1,2))</f>
      </c>
      <c r="AF279" s="7"/>
    </row>
    <row x14ac:dyDescent="0.25" r="280" customHeight="1" ht="17.25" hidden="1">
      <c r="A280" s="7" t="s">
        <v>49</v>
      </c>
      <c r="B280" s="7" t="s">
        <v>32</v>
      </c>
      <c r="C280" s="15" t="s">
        <v>110</v>
      </c>
      <c r="D280" s="10">
        <v>4</v>
      </c>
      <c r="E280" s="7" t="s">
        <v>34</v>
      </c>
      <c r="F280" s="10">
        <v>163</v>
      </c>
      <c r="G280" s="11">
        <v>79</v>
      </c>
      <c r="H280" s="12">
        <f>G280/((F280/100)*(F280/100))</f>
      </c>
      <c r="I280" s="11">
        <f>IF(H280&lt;25,0,IF(H280&lt;30,1,2))</f>
      </c>
      <c r="J280" s="13">
        <v>1</v>
      </c>
      <c r="K280" s="7" t="s">
        <v>72</v>
      </c>
      <c r="L280" s="7" t="s">
        <v>36</v>
      </c>
      <c r="M280" s="7" t="s">
        <v>185</v>
      </c>
      <c r="N280" s="7" t="s">
        <v>201</v>
      </c>
      <c r="O280" s="7" t="s">
        <v>63</v>
      </c>
      <c r="P280" s="7" t="s">
        <v>55</v>
      </c>
      <c r="Q280" s="10">
        <f>IF(P280="None of the above",0,2)</f>
      </c>
      <c r="R280" s="7" t="s">
        <v>89</v>
      </c>
      <c r="S280" s="7" t="s">
        <v>42</v>
      </c>
      <c r="T280" s="7" t="s">
        <v>96</v>
      </c>
      <c r="U280" s="10">
        <f>IF(T280="Heavy physical",0,IF(T280="Moderate activity",1,2))</f>
      </c>
      <c r="V280" s="5" t="s">
        <v>97</v>
      </c>
      <c r="W280" s="10">
        <f>IF(V280="7–8 hours",0,IF(V280="6–7 hours",1,2))</f>
      </c>
      <c r="X280" s="7" t="s">
        <v>83</v>
      </c>
      <c r="Y280" s="15" t="s">
        <v>64</v>
      </c>
      <c r="Z280" s="7" t="s">
        <v>92</v>
      </c>
      <c r="AA280" s="7" t="s">
        <v>42</v>
      </c>
      <c r="AB280" s="7" t="s">
        <v>48</v>
      </c>
      <c r="AC280" s="7" t="s">
        <v>48</v>
      </c>
      <c r="AD280" s="10">
        <f>I280 + Q280 + U280 + W280</f>
      </c>
      <c r="AE280" s="10">
        <f>IF(AD280&lt;=2,0,IF(AD280&lt;=5,1,2))</f>
      </c>
      <c r="AF280" s="7"/>
    </row>
    <row x14ac:dyDescent="0.25" r="281" customHeight="1" ht="17.25" hidden="1">
      <c r="A281" s="7" t="s">
        <v>76</v>
      </c>
      <c r="B281" s="7" t="s">
        <v>32</v>
      </c>
      <c r="C281" s="15" t="s">
        <v>110</v>
      </c>
      <c r="D281" s="10">
        <v>2</v>
      </c>
      <c r="E281" s="7" t="s">
        <v>51</v>
      </c>
      <c r="F281" s="10">
        <v>181</v>
      </c>
      <c r="G281" s="11">
        <v>109</v>
      </c>
      <c r="H281" s="12">
        <f>G281/((F281/100)*(F281/100))</f>
      </c>
      <c r="I281" s="11">
        <f>IF(H281&lt;25,0,IF(H281&lt;30,1,2))</f>
      </c>
      <c r="J281" s="13">
        <v>2</v>
      </c>
      <c r="K281" s="7" t="s">
        <v>86</v>
      </c>
      <c r="L281" s="7" t="s">
        <v>79</v>
      </c>
      <c r="M281" s="7" t="s">
        <v>41</v>
      </c>
      <c r="N281" s="7" t="s">
        <v>201</v>
      </c>
      <c r="O281" s="7" t="s">
        <v>39</v>
      </c>
      <c r="P281" s="7" t="s">
        <v>40</v>
      </c>
      <c r="Q281" s="10">
        <f>IF(P281="None of the above",0,2)</f>
      </c>
      <c r="R281" s="7" t="s">
        <v>56</v>
      </c>
      <c r="S281" s="7" t="s">
        <v>42</v>
      </c>
      <c r="T281" s="7" t="s">
        <v>99</v>
      </c>
      <c r="U281" s="10">
        <f>IF(T281="Heavy physical",0,IF(T281="Moderate activity",1,2))</f>
      </c>
      <c r="V281" s="5" t="s">
        <v>97</v>
      </c>
      <c r="W281" s="10">
        <f>IF(V281="7–8 hours",0,IF(V281="6–7 hours",1,2))</f>
      </c>
      <c r="X281" s="7" t="s">
        <v>102</v>
      </c>
      <c r="Y281" s="15" t="s">
        <v>64</v>
      </c>
      <c r="Z281" s="7" t="s">
        <v>45</v>
      </c>
      <c r="AA281" s="7" t="s">
        <v>42</v>
      </c>
      <c r="AB281" s="7" t="s">
        <v>42</v>
      </c>
      <c r="AC281" s="7" t="s">
        <v>42</v>
      </c>
      <c r="AD281" s="10">
        <f>I281 + Q281 + U281 + W281</f>
      </c>
      <c r="AE281" s="10">
        <f>IF(AD281&lt;=2,0,IF(AD281&lt;=5,1,2))</f>
      </c>
      <c r="AF281" s="7"/>
    </row>
    <row x14ac:dyDescent="0.25" r="282" customHeight="1" ht="17.25" hidden="1">
      <c r="A282" s="7" t="s">
        <v>76</v>
      </c>
      <c r="B282" s="7" t="s">
        <v>71</v>
      </c>
      <c r="C282" s="16" t="s">
        <v>202</v>
      </c>
      <c r="D282" s="10">
        <v>6</v>
      </c>
      <c r="E282" s="7" t="s">
        <v>34</v>
      </c>
      <c r="F282" s="10">
        <v>180</v>
      </c>
      <c r="G282" s="11">
        <v>63</v>
      </c>
      <c r="H282" s="12">
        <f>G282/((F282/100)*(F282/100))</f>
      </c>
      <c r="I282" s="11">
        <f>IF(H282&lt;25,0,IF(H282&lt;30,1,2))</f>
      </c>
      <c r="J282" s="13">
        <v>1</v>
      </c>
      <c r="K282" s="7" t="s">
        <v>105</v>
      </c>
      <c r="L282" s="7" t="s">
        <v>203</v>
      </c>
      <c r="M282" s="7" t="s">
        <v>185</v>
      </c>
      <c r="N282" s="7" t="s">
        <v>201</v>
      </c>
      <c r="O282" s="7" t="s">
        <v>39</v>
      </c>
      <c r="P282" s="7" t="s">
        <v>81</v>
      </c>
      <c r="Q282" s="10">
        <f>IF(P282="None of the above",0,2)</f>
      </c>
      <c r="R282" s="7" t="s">
        <v>89</v>
      </c>
      <c r="S282" s="7" t="s">
        <v>42</v>
      </c>
      <c r="T282" s="7" t="s">
        <v>96</v>
      </c>
      <c r="U282" s="10">
        <f>IF(T282="Heavy physical",0,IF(T282="Moderate activity",1,2))</f>
      </c>
      <c r="V282" s="5" t="s">
        <v>97</v>
      </c>
      <c r="W282" s="10">
        <f>IF(V282="7–8 hours",0,IF(V282="6–7 hours",1,2))</f>
      </c>
      <c r="X282" s="7" t="s">
        <v>45</v>
      </c>
      <c r="Y282" s="15" t="s">
        <v>64</v>
      </c>
      <c r="Z282" s="7" t="s">
        <v>45</v>
      </c>
      <c r="AA282" s="7" t="s">
        <v>48</v>
      </c>
      <c r="AB282" s="7" t="s">
        <v>48</v>
      </c>
      <c r="AC282" s="7" t="s">
        <v>42</v>
      </c>
      <c r="AD282" s="10">
        <f>I282 + Q282 + U282 + W282</f>
      </c>
      <c r="AE282" s="10">
        <f>IF(AD282&lt;=2,0,IF(AD282&lt;=5,1,2))</f>
      </c>
      <c r="AF282" s="7"/>
    </row>
    <row x14ac:dyDescent="0.25" r="283" customHeight="1" ht="17.25" hidden="1">
      <c r="A283" s="7" t="s">
        <v>49</v>
      </c>
      <c r="B283" s="7" t="s">
        <v>59</v>
      </c>
      <c r="C283" s="7" t="s">
        <v>120</v>
      </c>
      <c r="D283" s="10">
        <v>7</v>
      </c>
      <c r="E283" s="7" t="s">
        <v>51</v>
      </c>
      <c r="F283" s="10">
        <v>189</v>
      </c>
      <c r="G283" s="11">
        <v>45</v>
      </c>
      <c r="H283" s="12">
        <f>G283/((F283/100)*(F283/100))</f>
      </c>
      <c r="I283" s="11">
        <f>IF(H283&lt;25,0,IF(H283&lt;30,1,2))</f>
      </c>
      <c r="J283" s="13">
        <v>1</v>
      </c>
      <c r="K283" s="7" t="s">
        <v>52</v>
      </c>
      <c r="L283" s="7" t="s">
        <v>204</v>
      </c>
      <c r="M283" s="7" t="s">
        <v>41</v>
      </c>
      <c r="N283" s="7" t="s">
        <v>201</v>
      </c>
      <c r="O283" s="7" t="s">
        <v>39</v>
      </c>
      <c r="P283" s="7" t="s">
        <v>81</v>
      </c>
      <c r="Q283" s="10">
        <f>IF(P283="None of the above",0,2)</f>
      </c>
      <c r="R283" s="7" t="s">
        <v>89</v>
      </c>
      <c r="S283" s="7" t="s">
        <v>42</v>
      </c>
      <c r="T283" s="7" t="s">
        <v>96</v>
      </c>
      <c r="U283" s="10">
        <f>IF(T283="Heavy physical",0,IF(T283="Moderate activity",1,2))</f>
      </c>
      <c r="V283" s="5" t="s">
        <v>44</v>
      </c>
      <c r="W283" s="10">
        <f>IF(V283="7–8 hours",0,IF(V283="6–7 hours",1,2))</f>
      </c>
      <c r="X283" s="7" t="s">
        <v>45</v>
      </c>
      <c r="Y283" s="15" t="s">
        <v>64</v>
      </c>
      <c r="Z283" s="7" t="s">
        <v>45</v>
      </c>
      <c r="AA283" s="7" t="s">
        <v>42</v>
      </c>
      <c r="AB283" s="7" t="s">
        <v>42</v>
      </c>
      <c r="AC283" s="7" t="s">
        <v>42</v>
      </c>
      <c r="AD283" s="10">
        <f>I283 + Q283 + U283 + W283</f>
      </c>
      <c r="AE283" s="10">
        <f>IF(AD283&lt;=2,0,IF(AD283&lt;=5,1,2))</f>
      </c>
      <c r="AF283" s="7"/>
    </row>
    <row x14ac:dyDescent="0.25" r="284" customHeight="1" ht="17.25" hidden="1">
      <c r="A284" s="7" t="s">
        <v>76</v>
      </c>
      <c r="B284" s="7" t="s">
        <v>77</v>
      </c>
      <c r="C284" s="7" t="s">
        <v>33</v>
      </c>
      <c r="D284" s="10">
        <v>7</v>
      </c>
      <c r="E284" s="7" t="s">
        <v>34</v>
      </c>
      <c r="F284" s="10">
        <v>164</v>
      </c>
      <c r="G284" s="11">
        <v>92</v>
      </c>
      <c r="H284" s="12">
        <f>G284/((F284/100)*(F284/100))</f>
      </c>
      <c r="I284" s="11">
        <f>IF(H284&lt;25,0,IF(H284&lt;30,1,2))</f>
      </c>
      <c r="J284" s="13">
        <v>1</v>
      </c>
      <c r="K284" s="7" t="s">
        <v>61</v>
      </c>
      <c r="L284" s="7" t="s">
        <v>205</v>
      </c>
      <c r="M284" s="7" t="s">
        <v>185</v>
      </c>
      <c r="N284" s="7" t="s">
        <v>201</v>
      </c>
      <c r="O284" s="7" t="s">
        <v>39</v>
      </c>
      <c r="P284" s="7" t="s">
        <v>40</v>
      </c>
      <c r="Q284" s="10">
        <f>IF(P284="None of the above",0,2)</f>
      </c>
      <c r="R284" s="7" t="s">
        <v>56</v>
      </c>
      <c r="S284" s="7" t="s">
        <v>42</v>
      </c>
      <c r="T284" s="7" t="s">
        <v>96</v>
      </c>
      <c r="U284" s="10">
        <f>IF(T284="Heavy physical",0,IF(T284="Moderate activity",1,2))</f>
      </c>
      <c r="V284" s="5" t="s">
        <v>57</v>
      </c>
      <c r="W284" s="10">
        <f>IF(V284="7–8 hours",0,IF(V284="6–7 hours",1,2))</f>
      </c>
      <c r="X284" s="7" t="s">
        <v>83</v>
      </c>
      <c r="Y284" s="7" t="s">
        <v>58</v>
      </c>
      <c r="Z284" s="7" t="s">
        <v>47</v>
      </c>
      <c r="AA284" s="7" t="s">
        <v>48</v>
      </c>
      <c r="AB284" s="7" t="s">
        <v>42</v>
      </c>
      <c r="AC284" s="7" t="s">
        <v>42</v>
      </c>
      <c r="AD284" s="10">
        <f>I284 + Q284 + U284 + W284</f>
      </c>
      <c r="AE284" s="10">
        <f>IF(AD284&lt;=2,0,IF(AD284&lt;=5,1,2))</f>
      </c>
      <c r="AF284" s="7"/>
    </row>
    <row x14ac:dyDescent="0.25" r="285" customHeight="1" ht="17.25" hidden="1">
      <c r="A285" s="7" t="s">
        <v>31</v>
      </c>
      <c r="B285" s="7" t="s">
        <v>71</v>
      </c>
      <c r="C285" s="16" t="s">
        <v>202</v>
      </c>
      <c r="D285" s="10">
        <v>2</v>
      </c>
      <c r="E285" s="7" t="s">
        <v>51</v>
      </c>
      <c r="F285" s="10">
        <v>149</v>
      </c>
      <c r="G285" s="11">
        <v>65</v>
      </c>
      <c r="H285" s="12">
        <f>G285/((F285/100)*(F285/100))</f>
      </c>
      <c r="I285" s="11">
        <f>IF(H285&lt;25,0,IF(H285&lt;30,1,2))</f>
      </c>
      <c r="J285" s="13">
        <v>1</v>
      </c>
      <c r="K285" s="7" t="s">
        <v>35</v>
      </c>
      <c r="L285" s="7" t="s">
        <v>140</v>
      </c>
      <c r="M285" s="7" t="s">
        <v>54</v>
      </c>
      <c r="N285" s="7" t="s">
        <v>201</v>
      </c>
      <c r="O285" s="7" t="s">
        <v>74</v>
      </c>
      <c r="P285" s="7" t="s">
        <v>81</v>
      </c>
      <c r="Q285" s="10">
        <f>IF(P285="None of the above",0,2)</f>
      </c>
      <c r="R285" s="7" t="s">
        <v>89</v>
      </c>
      <c r="S285" s="7" t="s">
        <v>42</v>
      </c>
      <c r="T285" s="7" t="s">
        <v>96</v>
      </c>
      <c r="U285" s="10">
        <f>IF(T285="Heavy physical",0,IF(T285="Moderate activity",1,2))</f>
      </c>
      <c r="V285" s="5" t="s">
        <v>57</v>
      </c>
      <c r="W285" s="10">
        <f>IF(V285="7–8 hours",0,IF(V285="6–7 hours",1,2))</f>
      </c>
      <c r="X285" s="7" t="s">
        <v>102</v>
      </c>
      <c r="Y285" s="15" t="s">
        <v>64</v>
      </c>
      <c r="Z285" s="7" t="s">
        <v>45</v>
      </c>
      <c r="AA285" s="7" t="s">
        <v>42</v>
      </c>
      <c r="AB285" s="7" t="s">
        <v>42</v>
      </c>
      <c r="AC285" s="7" t="s">
        <v>42</v>
      </c>
      <c r="AD285" s="10">
        <f>I285 + Q285 + U285 + W285</f>
      </c>
      <c r="AE285" s="10">
        <f>IF(AD285&lt;=2,0,IF(AD285&lt;=5,1,2))</f>
      </c>
      <c r="AF285" s="7"/>
    </row>
    <row x14ac:dyDescent="0.25" r="286" customHeight="1" ht="17.25" hidden="1">
      <c r="A286" s="7" t="s">
        <v>31</v>
      </c>
      <c r="B286" s="7" t="s">
        <v>59</v>
      </c>
      <c r="C286" s="15" t="s">
        <v>110</v>
      </c>
      <c r="D286" s="10">
        <v>7</v>
      </c>
      <c r="E286" s="7" t="s">
        <v>34</v>
      </c>
      <c r="F286" s="10">
        <v>198</v>
      </c>
      <c r="G286" s="11">
        <v>95</v>
      </c>
      <c r="H286" s="12">
        <f>G286/((F286/100)*(F286/100))</f>
      </c>
      <c r="I286" s="11">
        <f>IF(H286&lt;25,0,IF(H286&lt;30,1,2))</f>
      </c>
      <c r="J286" s="13">
        <v>1</v>
      </c>
      <c r="K286" s="7" t="s">
        <v>52</v>
      </c>
      <c r="L286" s="7" t="s">
        <v>147</v>
      </c>
      <c r="M286" s="7" t="s">
        <v>185</v>
      </c>
      <c r="N286" s="7" t="s">
        <v>201</v>
      </c>
      <c r="O286" s="7" t="s">
        <v>74</v>
      </c>
      <c r="P286" s="7" t="s">
        <v>81</v>
      </c>
      <c r="Q286" s="10">
        <f>IF(P286="None of the above",0,2)</f>
      </c>
      <c r="R286" s="7" t="s">
        <v>56</v>
      </c>
      <c r="S286" s="7" t="s">
        <v>42</v>
      </c>
      <c r="T286" s="7" t="s">
        <v>96</v>
      </c>
      <c r="U286" s="10">
        <f>IF(T286="Heavy physical",0,IF(T286="Moderate activity",1,2))</f>
      </c>
      <c r="V286" s="5" t="s">
        <v>57</v>
      </c>
      <c r="W286" s="10">
        <f>IF(V286="7–8 hours",0,IF(V286="6–7 hours",1,2))</f>
      </c>
      <c r="X286" s="7" t="s">
        <v>83</v>
      </c>
      <c r="Y286" s="15" t="s">
        <v>64</v>
      </c>
      <c r="Z286" s="7" t="s">
        <v>65</v>
      </c>
      <c r="AA286" s="7" t="s">
        <v>42</v>
      </c>
      <c r="AB286" s="7" t="s">
        <v>48</v>
      </c>
      <c r="AC286" s="7" t="s">
        <v>48</v>
      </c>
      <c r="AD286" s="10">
        <f>I286 + Q286 + U286 + W286</f>
      </c>
      <c r="AE286" s="10">
        <f>IF(AD286&lt;=2,0,IF(AD286&lt;=5,1,2))</f>
      </c>
      <c r="AF286" s="7"/>
    </row>
    <row x14ac:dyDescent="0.25" r="287" customHeight="1" ht="17.25" hidden="1">
      <c r="A287" s="7" t="s">
        <v>76</v>
      </c>
      <c r="B287" s="7" t="s">
        <v>59</v>
      </c>
      <c r="C287" s="7" t="s">
        <v>141</v>
      </c>
      <c r="D287" s="10">
        <v>4</v>
      </c>
      <c r="E287" s="7" t="s">
        <v>34</v>
      </c>
      <c r="F287" s="10">
        <v>170</v>
      </c>
      <c r="G287" s="11">
        <v>117</v>
      </c>
      <c r="H287" s="12">
        <f>G287/((F287/100)*(F287/100))</f>
      </c>
      <c r="I287" s="11">
        <f>IF(H287&lt;25,0,IF(H287&lt;30,1,2))</f>
      </c>
      <c r="J287" s="13">
        <v>3</v>
      </c>
      <c r="K287" s="7" t="s">
        <v>105</v>
      </c>
      <c r="L287" s="7" t="s">
        <v>147</v>
      </c>
      <c r="M287" s="7" t="s">
        <v>185</v>
      </c>
      <c r="N287" s="7" t="s">
        <v>201</v>
      </c>
      <c r="O287" s="7" t="s">
        <v>80</v>
      </c>
      <c r="P287" s="7" t="s">
        <v>40</v>
      </c>
      <c r="Q287" s="10">
        <f>IF(P287="None of the above",0,2)</f>
      </c>
      <c r="R287" s="7" t="s">
        <v>89</v>
      </c>
      <c r="S287" s="7" t="s">
        <v>42</v>
      </c>
      <c r="T287" s="7" t="s">
        <v>96</v>
      </c>
      <c r="U287" s="10">
        <f>IF(T287="Heavy physical",0,IF(T287="Moderate activity",1,2))</f>
      </c>
      <c r="V287" s="5" t="s">
        <v>57</v>
      </c>
      <c r="W287" s="10">
        <f>IF(V287="7–8 hours",0,IF(V287="6–7 hours",1,2))</f>
      </c>
      <c r="X287" s="7" t="s">
        <v>83</v>
      </c>
      <c r="Y287" s="15" t="s">
        <v>75</v>
      </c>
      <c r="Z287" s="7" t="s">
        <v>65</v>
      </c>
      <c r="AA287" s="7" t="s">
        <v>42</v>
      </c>
      <c r="AB287" s="7" t="s">
        <v>48</v>
      </c>
      <c r="AC287" s="7" t="s">
        <v>48</v>
      </c>
      <c r="AD287" s="10">
        <f>I287 + Q287 + U287 + W287</f>
      </c>
      <c r="AE287" s="10">
        <f>IF(AD287&lt;=2,0,IF(AD287&lt;=5,1,2))</f>
      </c>
      <c r="AF287" s="7"/>
    </row>
    <row x14ac:dyDescent="0.25" r="288" customHeight="1" ht="17.25" hidden="1">
      <c r="A288" s="7" t="s">
        <v>31</v>
      </c>
      <c r="B288" s="7" t="s">
        <v>59</v>
      </c>
      <c r="C288" s="7" t="s">
        <v>33</v>
      </c>
      <c r="D288" s="10">
        <v>1</v>
      </c>
      <c r="E288" s="7" t="s">
        <v>51</v>
      </c>
      <c r="F288" s="10">
        <v>151</v>
      </c>
      <c r="G288" s="11">
        <v>83</v>
      </c>
      <c r="H288" s="12">
        <f>G288/((F288/100)*(F288/100))</f>
      </c>
      <c r="I288" s="11">
        <f>IF(H288&lt;25,0,IF(H288&lt;30,1,2))</f>
      </c>
      <c r="J288" s="13">
        <v>3</v>
      </c>
      <c r="K288" s="7" t="s">
        <v>35</v>
      </c>
      <c r="L288" s="7" t="s">
        <v>139</v>
      </c>
      <c r="M288" s="7" t="s">
        <v>185</v>
      </c>
      <c r="N288" s="7" t="s">
        <v>201</v>
      </c>
      <c r="O288" s="7" t="s">
        <v>39</v>
      </c>
      <c r="P288" s="7" t="s">
        <v>55</v>
      </c>
      <c r="Q288" s="10">
        <f>IF(P288="None of the above",0,2)</f>
      </c>
      <c r="R288" s="7" t="s">
        <v>56</v>
      </c>
      <c r="S288" s="15" t="s">
        <v>48</v>
      </c>
      <c r="T288" s="7" t="s">
        <v>99</v>
      </c>
      <c r="U288" s="10">
        <f>IF(T288="Heavy physical",0,IF(T288="Moderate activity",1,2))</f>
      </c>
      <c r="V288" s="5" t="s">
        <v>97</v>
      </c>
      <c r="W288" s="10">
        <f>IF(V288="7–8 hours",0,IF(V288="6–7 hours",1,2))</f>
      </c>
      <c r="X288" s="7" t="s">
        <v>45</v>
      </c>
      <c r="Y288" s="15" t="s">
        <v>75</v>
      </c>
      <c r="Z288" s="7" t="s">
        <v>65</v>
      </c>
      <c r="AA288" s="7" t="s">
        <v>42</v>
      </c>
      <c r="AB288" s="7" t="s">
        <v>42</v>
      </c>
      <c r="AC288" s="7" t="s">
        <v>42</v>
      </c>
      <c r="AD288" s="10">
        <f>I288 + Q288 + U288 + W288</f>
      </c>
      <c r="AE288" s="10">
        <f>IF(AD288&lt;=2,0,IF(AD288&lt;=5,1,2))</f>
      </c>
      <c r="AF288" s="7"/>
    </row>
    <row x14ac:dyDescent="0.25" r="289" customHeight="1" ht="17.25" hidden="1">
      <c r="A289" s="7" t="s">
        <v>76</v>
      </c>
      <c r="B289" s="7" t="s">
        <v>66</v>
      </c>
      <c r="C289" s="15" t="s">
        <v>110</v>
      </c>
      <c r="D289" s="10">
        <v>4</v>
      </c>
      <c r="E289" s="7" t="s">
        <v>34</v>
      </c>
      <c r="F289" s="10">
        <v>180</v>
      </c>
      <c r="G289" s="11">
        <v>77</v>
      </c>
      <c r="H289" s="12">
        <f>G289/((F289/100)*(F289/100))</f>
      </c>
      <c r="I289" s="11">
        <f>IF(H289&lt;25,0,IF(H289&lt;30,1,2))</f>
      </c>
      <c r="J289" s="13">
        <v>2</v>
      </c>
      <c r="K289" s="7" t="s">
        <v>35</v>
      </c>
      <c r="L289" s="7" t="s">
        <v>191</v>
      </c>
      <c r="M289" s="7" t="s">
        <v>185</v>
      </c>
      <c r="N289" s="7" t="s">
        <v>201</v>
      </c>
      <c r="O289" s="7" t="s">
        <v>39</v>
      </c>
      <c r="P289" s="7" t="s">
        <v>81</v>
      </c>
      <c r="Q289" s="10">
        <f>IF(P289="None of the above",0,2)</f>
      </c>
      <c r="R289" s="7" t="s">
        <v>89</v>
      </c>
      <c r="S289" s="15" t="s">
        <v>48</v>
      </c>
      <c r="T289" s="7" t="s">
        <v>96</v>
      </c>
      <c r="U289" s="10">
        <f>IF(T289="Heavy physical",0,IF(T289="Moderate activity",1,2))</f>
      </c>
      <c r="V289" s="5" t="s">
        <v>97</v>
      </c>
      <c r="W289" s="10">
        <f>IF(V289="7–8 hours",0,IF(V289="6–7 hours",1,2))</f>
      </c>
      <c r="X289" s="7" t="s">
        <v>70</v>
      </c>
      <c r="Y289" s="7" t="s">
        <v>58</v>
      </c>
      <c r="Z289" s="7" t="s">
        <v>65</v>
      </c>
      <c r="AA289" s="7" t="s">
        <v>42</v>
      </c>
      <c r="AB289" s="7" t="s">
        <v>48</v>
      </c>
      <c r="AC289" s="7" t="s">
        <v>48</v>
      </c>
      <c r="AD289" s="10">
        <f>I289 + Q289 + U289 + W289</f>
      </c>
      <c r="AE289" s="10">
        <f>IF(AD289&lt;=2,0,IF(AD289&lt;=5,1,2))</f>
      </c>
      <c r="AF289" s="7"/>
    </row>
    <row x14ac:dyDescent="0.25" r="290" customHeight="1" ht="17.25" hidden="1">
      <c r="A290" s="7" t="s">
        <v>31</v>
      </c>
      <c r="B290" s="7" t="s">
        <v>32</v>
      </c>
      <c r="C290" s="7" t="s">
        <v>50</v>
      </c>
      <c r="D290" s="10">
        <v>6</v>
      </c>
      <c r="E290" s="7" t="s">
        <v>34</v>
      </c>
      <c r="F290" s="10">
        <v>161</v>
      </c>
      <c r="G290" s="11">
        <v>99</v>
      </c>
      <c r="H290" s="12">
        <f>G290/((F290/100)*(F290/100))</f>
      </c>
      <c r="I290" s="11">
        <f>IF(H290&lt;25,0,IF(H290&lt;30,1,2))</f>
      </c>
      <c r="J290" s="13">
        <v>3</v>
      </c>
      <c r="K290" s="7" t="s">
        <v>86</v>
      </c>
      <c r="L290" s="7" t="s">
        <v>129</v>
      </c>
      <c r="M290" s="7" t="s">
        <v>54</v>
      </c>
      <c r="N290" s="7" t="s">
        <v>201</v>
      </c>
      <c r="O290" s="7" t="s">
        <v>68</v>
      </c>
      <c r="P290" s="7" t="s">
        <v>40</v>
      </c>
      <c r="Q290" s="10">
        <f>IF(P290="None of the above",0,2)</f>
      </c>
      <c r="R290" s="7" t="s">
        <v>56</v>
      </c>
      <c r="S290" s="15" t="s">
        <v>48</v>
      </c>
      <c r="T290" s="7" t="s">
        <v>96</v>
      </c>
      <c r="U290" s="10">
        <f>IF(T290="Heavy physical",0,IF(T290="Moderate activity",1,2))</f>
      </c>
      <c r="V290" s="5" t="s">
        <v>97</v>
      </c>
      <c r="W290" s="10">
        <f>IF(V290="7–8 hours",0,IF(V290="6–7 hours",1,2))</f>
      </c>
      <c r="X290" s="7" t="s">
        <v>70</v>
      </c>
      <c r="Y290" s="7" t="s">
        <v>58</v>
      </c>
      <c r="Z290" s="7" t="s">
        <v>92</v>
      </c>
      <c r="AA290" s="7" t="s">
        <v>42</v>
      </c>
      <c r="AB290" s="7" t="s">
        <v>42</v>
      </c>
      <c r="AC290" s="7" t="s">
        <v>42</v>
      </c>
      <c r="AD290" s="10">
        <f>I290 + Q290 + U290 + W290</f>
      </c>
      <c r="AE290" s="10">
        <f>IF(AD290&lt;=2,0,IF(AD290&lt;=5,1,2))</f>
      </c>
      <c r="AF290" s="7"/>
    </row>
    <row x14ac:dyDescent="0.25" r="291" customHeight="1" ht="17.25" hidden="1">
      <c r="A291" s="7" t="s">
        <v>76</v>
      </c>
      <c r="B291" s="7" t="s">
        <v>84</v>
      </c>
      <c r="C291" s="16" t="s">
        <v>202</v>
      </c>
      <c r="D291" s="10">
        <v>4</v>
      </c>
      <c r="E291" s="7" t="s">
        <v>34</v>
      </c>
      <c r="F291" s="10">
        <v>186</v>
      </c>
      <c r="G291" s="11">
        <v>89</v>
      </c>
      <c r="H291" s="12">
        <f>G291/((F291/100)*(F291/100))</f>
      </c>
      <c r="I291" s="11">
        <f>IF(H291&lt;25,0,IF(H291&lt;30,1,2))</f>
      </c>
      <c r="J291" s="13">
        <v>2</v>
      </c>
      <c r="K291" s="7" t="s">
        <v>61</v>
      </c>
      <c r="L291" s="7" t="s">
        <v>108</v>
      </c>
      <c r="M291" s="7" t="s">
        <v>185</v>
      </c>
      <c r="N291" s="7" t="s">
        <v>201</v>
      </c>
      <c r="O291" s="7" t="s">
        <v>74</v>
      </c>
      <c r="P291" s="7" t="s">
        <v>81</v>
      </c>
      <c r="Q291" s="10">
        <f>IF(P291="None of the above",0,2)</f>
      </c>
      <c r="R291" s="7" t="s">
        <v>56</v>
      </c>
      <c r="S291" s="7" t="s">
        <v>42</v>
      </c>
      <c r="T291" s="7" t="s">
        <v>96</v>
      </c>
      <c r="U291" s="10">
        <f>IF(T291="Heavy physical",0,IF(T291="Moderate activity",1,2))</f>
      </c>
      <c r="V291" s="5" t="s">
        <v>69</v>
      </c>
      <c r="W291" s="10">
        <f>IF(V291="7–8 hours",0,IF(V291="6–7 hours",1,2))</f>
      </c>
      <c r="X291" s="7" t="s">
        <v>83</v>
      </c>
      <c r="Y291" s="7" t="s">
        <v>58</v>
      </c>
      <c r="Z291" s="7" t="s">
        <v>47</v>
      </c>
      <c r="AA291" s="7" t="s">
        <v>42</v>
      </c>
      <c r="AB291" s="7" t="s">
        <v>42</v>
      </c>
      <c r="AC291" s="7" t="s">
        <v>48</v>
      </c>
      <c r="AD291" s="10">
        <f>I291 + Q291 + U291 + W291</f>
      </c>
      <c r="AE291" s="10">
        <f>IF(AD291&lt;=2,0,IF(AD291&lt;=5,1,2))</f>
      </c>
      <c r="AF291" s="7"/>
    </row>
    <row x14ac:dyDescent="0.25" r="292" customHeight="1" ht="17.25" hidden="1">
      <c r="A292" s="7" t="s">
        <v>31</v>
      </c>
      <c r="B292" s="7" t="s">
        <v>71</v>
      </c>
      <c r="C292" s="15" t="s">
        <v>110</v>
      </c>
      <c r="D292" s="10">
        <v>1</v>
      </c>
      <c r="E292" s="7" t="s">
        <v>51</v>
      </c>
      <c r="F292" s="10">
        <v>191</v>
      </c>
      <c r="G292" s="11">
        <v>52</v>
      </c>
      <c r="H292" s="12">
        <f>G292/((F292/100)*(F292/100))</f>
      </c>
      <c r="I292" s="11">
        <f>IF(H292&lt;25,0,IF(H292&lt;30,1,2))</f>
      </c>
      <c r="J292" s="13">
        <v>2</v>
      </c>
      <c r="K292" s="7" t="s">
        <v>105</v>
      </c>
      <c r="L292" s="7" t="s">
        <v>108</v>
      </c>
      <c r="M292" s="7" t="s">
        <v>54</v>
      </c>
      <c r="N292" s="7" t="s">
        <v>201</v>
      </c>
      <c r="O292" s="7" t="s">
        <v>39</v>
      </c>
      <c r="P292" s="15" t="s">
        <v>132</v>
      </c>
      <c r="Q292" s="10">
        <f>IF(P292="None of the above",0,2)</f>
      </c>
      <c r="R292" s="7" t="s">
        <v>56</v>
      </c>
      <c r="S292" s="15" t="s">
        <v>48</v>
      </c>
      <c r="T292" s="7" t="s">
        <v>99</v>
      </c>
      <c r="U292" s="10">
        <f>IF(T292="Heavy physical",0,IF(T292="Moderate activity",1,2))</f>
      </c>
      <c r="V292" s="5" t="s">
        <v>57</v>
      </c>
      <c r="W292" s="10">
        <f>IF(V292="7–8 hours",0,IF(V292="6–7 hours",1,2))</f>
      </c>
      <c r="X292" s="7" t="s">
        <v>102</v>
      </c>
      <c r="Y292" s="15" t="s">
        <v>64</v>
      </c>
      <c r="Z292" s="7" t="s">
        <v>92</v>
      </c>
      <c r="AA292" s="7" t="s">
        <v>42</v>
      </c>
      <c r="AB292" s="7" t="s">
        <v>42</v>
      </c>
      <c r="AC292" s="7" t="s">
        <v>42</v>
      </c>
      <c r="AD292" s="10">
        <f>I292 + Q292 + U292 + W292</f>
      </c>
      <c r="AE292" s="10">
        <f>IF(AD292&lt;=2,0,IF(AD292&lt;=5,1,2))</f>
      </c>
      <c r="AF292" s="7"/>
    </row>
    <row x14ac:dyDescent="0.25" r="293" customHeight="1" ht="17.25" hidden="1">
      <c r="A293" s="7" t="s">
        <v>49</v>
      </c>
      <c r="B293" s="7" t="s">
        <v>71</v>
      </c>
      <c r="C293" s="7" t="s">
        <v>33</v>
      </c>
      <c r="D293" s="10">
        <v>1</v>
      </c>
      <c r="E293" s="7" t="s">
        <v>51</v>
      </c>
      <c r="F293" s="10">
        <v>152</v>
      </c>
      <c r="G293" s="11">
        <v>72</v>
      </c>
      <c r="H293" s="12">
        <f>G293/((F293/100)*(F293/100))</f>
      </c>
      <c r="I293" s="11">
        <f>IF(H293&lt;25,0,IF(H293&lt;30,1,2))</f>
      </c>
      <c r="J293" s="13">
        <v>3</v>
      </c>
      <c r="K293" s="7" t="s">
        <v>86</v>
      </c>
      <c r="L293" s="7" t="s">
        <v>108</v>
      </c>
      <c r="M293" s="7" t="s">
        <v>54</v>
      </c>
      <c r="N293" s="7" t="s">
        <v>201</v>
      </c>
      <c r="O293" s="7" t="s">
        <v>80</v>
      </c>
      <c r="P293" s="15" t="s">
        <v>132</v>
      </c>
      <c r="Q293" s="10">
        <f>IF(P293="None of the above",0,2)</f>
      </c>
      <c r="R293" s="7" t="s">
        <v>89</v>
      </c>
      <c r="S293" s="15" t="s">
        <v>48</v>
      </c>
      <c r="T293" s="7" t="s">
        <v>96</v>
      </c>
      <c r="U293" s="10">
        <f>IF(T293="Heavy physical",0,IF(T293="Moderate activity",1,2))</f>
      </c>
      <c r="V293" s="5" t="s">
        <v>97</v>
      </c>
      <c r="W293" s="10">
        <f>IF(V293="7–8 hours",0,IF(V293="6–7 hours",1,2))</f>
      </c>
      <c r="X293" s="7" t="s">
        <v>102</v>
      </c>
      <c r="Y293" s="15" t="s">
        <v>64</v>
      </c>
      <c r="Z293" s="7" t="s">
        <v>65</v>
      </c>
      <c r="AA293" s="7" t="s">
        <v>42</v>
      </c>
      <c r="AB293" s="7" t="s">
        <v>42</v>
      </c>
      <c r="AC293" s="7" t="s">
        <v>42</v>
      </c>
      <c r="AD293" s="10">
        <f>I293 + Q293 + U293 + W293</f>
      </c>
      <c r="AE293" s="10">
        <f>IF(AD293&lt;=2,0,IF(AD293&lt;=5,1,2))</f>
      </c>
      <c r="AF293" s="7"/>
    </row>
    <row x14ac:dyDescent="0.25" r="294" customHeight="1" ht="17.25" hidden="1">
      <c r="A294" s="7" t="s">
        <v>31</v>
      </c>
      <c r="B294" s="7" t="s">
        <v>32</v>
      </c>
      <c r="C294" s="15" t="s">
        <v>110</v>
      </c>
      <c r="D294" s="10">
        <v>8</v>
      </c>
      <c r="E294" s="7" t="s">
        <v>34</v>
      </c>
      <c r="F294" s="10">
        <v>145</v>
      </c>
      <c r="G294" s="11">
        <v>111</v>
      </c>
      <c r="H294" s="12">
        <f>G294/((F294/100)*(F294/100))</f>
      </c>
      <c r="I294" s="11">
        <f>IF(H294&lt;25,0,IF(H294&lt;30,1,2))</f>
      </c>
      <c r="J294" s="13">
        <v>1</v>
      </c>
      <c r="K294" s="7" t="s">
        <v>35</v>
      </c>
      <c r="L294" s="7" t="s">
        <v>150</v>
      </c>
      <c r="M294" s="7" t="s">
        <v>185</v>
      </c>
      <c r="N294" s="7" t="s">
        <v>201</v>
      </c>
      <c r="O294" s="7" t="s">
        <v>80</v>
      </c>
      <c r="P294" s="15" t="s">
        <v>132</v>
      </c>
      <c r="Q294" s="10">
        <f>IF(P294="None of the above",0,2)</f>
      </c>
      <c r="R294" s="7" t="s">
        <v>56</v>
      </c>
      <c r="S294" s="15" t="s">
        <v>48</v>
      </c>
      <c r="T294" s="7" t="s">
        <v>96</v>
      </c>
      <c r="U294" s="10">
        <f>IF(T294="Heavy physical",0,IF(T294="Moderate activity",1,2))</f>
      </c>
      <c r="V294" s="5" t="s">
        <v>57</v>
      </c>
      <c r="W294" s="10">
        <f>IF(V294="7–8 hours",0,IF(V294="6–7 hours",1,2))</f>
      </c>
      <c r="X294" s="7" t="s">
        <v>70</v>
      </c>
      <c r="Y294" s="15" t="s">
        <v>64</v>
      </c>
      <c r="Z294" s="7" t="s">
        <v>92</v>
      </c>
      <c r="AA294" s="7" t="s">
        <v>42</v>
      </c>
      <c r="AB294" s="7" t="s">
        <v>48</v>
      </c>
      <c r="AC294" s="7" t="s">
        <v>48</v>
      </c>
      <c r="AD294" s="10">
        <f>I294 + Q294 + U294 + W294</f>
      </c>
      <c r="AE294" s="10">
        <f>IF(AD294&lt;=2,0,IF(AD294&lt;=5,1,2))</f>
      </c>
      <c r="AF294" s="7"/>
    </row>
    <row x14ac:dyDescent="0.25" r="295" customHeight="1" ht="17.25" hidden="1">
      <c r="A295" s="7" t="s">
        <v>192</v>
      </c>
      <c r="B295" s="7" t="s">
        <v>32</v>
      </c>
      <c r="C295" s="7" t="s">
        <v>120</v>
      </c>
      <c r="D295" s="10">
        <v>6</v>
      </c>
      <c r="E295" s="7" t="s">
        <v>51</v>
      </c>
      <c r="F295" s="10">
        <v>154</v>
      </c>
      <c r="G295" s="11">
        <v>101</v>
      </c>
      <c r="H295" s="12">
        <f>G295/((F295/100)*(F295/100))</f>
      </c>
      <c r="I295" s="11">
        <f>IF(H295&lt;25,0,IF(H295&lt;30,1,2))</f>
      </c>
      <c r="J295" s="13">
        <v>5</v>
      </c>
      <c r="K295" s="7" t="s">
        <v>105</v>
      </c>
      <c r="L295" s="7" t="s">
        <v>108</v>
      </c>
      <c r="M295" s="7" t="s">
        <v>54</v>
      </c>
      <c r="N295" s="7" t="s">
        <v>201</v>
      </c>
      <c r="O295" s="7" t="s">
        <v>80</v>
      </c>
      <c r="P295" s="15" t="s">
        <v>132</v>
      </c>
      <c r="Q295" s="10">
        <f>IF(P295="None of the above",0,2)</f>
      </c>
      <c r="R295" s="7" t="s">
        <v>56</v>
      </c>
      <c r="S295" s="7" t="s">
        <v>42</v>
      </c>
      <c r="T295" s="7" t="s">
        <v>96</v>
      </c>
      <c r="U295" s="10">
        <f>IF(T295="Heavy physical",0,IF(T295="Moderate activity",1,2))</f>
      </c>
      <c r="V295" s="5" t="s">
        <v>97</v>
      </c>
      <c r="W295" s="10">
        <f>IF(V295="7–8 hours",0,IF(V295="6–7 hours",1,2))</f>
      </c>
      <c r="X295" s="7" t="s">
        <v>70</v>
      </c>
      <c r="Y295" s="15" t="s">
        <v>64</v>
      </c>
      <c r="Z295" s="7" t="s">
        <v>45</v>
      </c>
      <c r="AA295" s="7" t="s">
        <v>42</v>
      </c>
      <c r="AB295" s="7" t="s">
        <v>42</v>
      </c>
      <c r="AC295" s="7" t="s">
        <v>42</v>
      </c>
      <c r="AD295" s="10">
        <f>I295 + Q295 + U295 + W295</f>
      </c>
      <c r="AE295" s="10">
        <f>IF(AD295&lt;=2,0,IF(AD295&lt;=5,1,2))</f>
      </c>
      <c r="AF295" s="7"/>
    </row>
    <row x14ac:dyDescent="0.25" r="296" customHeight="1" ht="17.25" hidden="1">
      <c r="A296" s="7" t="s">
        <v>49</v>
      </c>
      <c r="B296" s="7" t="s">
        <v>93</v>
      </c>
      <c r="C296" s="15" t="s">
        <v>110</v>
      </c>
      <c r="D296" s="10">
        <v>7</v>
      </c>
      <c r="E296" s="7" t="s">
        <v>51</v>
      </c>
      <c r="F296" s="10">
        <v>183</v>
      </c>
      <c r="G296" s="11">
        <v>72</v>
      </c>
      <c r="H296" s="12">
        <f>G296/((F296/100)*(F296/100))</f>
      </c>
      <c r="I296" s="11">
        <f>IF(H296&lt;25,0,IF(H296&lt;30,1,2))</f>
      </c>
      <c r="J296" s="13">
        <v>1</v>
      </c>
      <c r="K296" s="7" t="s">
        <v>105</v>
      </c>
      <c r="L296" s="7" t="s">
        <v>36</v>
      </c>
      <c r="M296" s="7" t="s">
        <v>54</v>
      </c>
      <c r="N296" s="7" t="s">
        <v>201</v>
      </c>
      <c r="O296" s="7" t="s">
        <v>74</v>
      </c>
      <c r="P296" s="15" t="s">
        <v>132</v>
      </c>
      <c r="Q296" s="10">
        <f>IF(P296="None of the above",0,2)</f>
      </c>
      <c r="R296" s="7" t="s">
        <v>56</v>
      </c>
      <c r="S296" s="15" t="s">
        <v>48</v>
      </c>
      <c r="T296" s="7" t="s">
        <v>96</v>
      </c>
      <c r="U296" s="10">
        <f>IF(T296="Heavy physical",0,IF(T296="Moderate activity",1,2))</f>
      </c>
      <c r="V296" s="5" t="s">
        <v>57</v>
      </c>
      <c r="W296" s="10">
        <f>IF(V296="7–8 hours",0,IF(V296="6–7 hours",1,2))</f>
      </c>
      <c r="X296" s="7" t="s">
        <v>45</v>
      </c>
      <c r="Y296" s="15" t="s">
        <v>75</v>
      </c>
      <c r="Z296" s="7" t="s">
        <v>47</v>
      </c>
      <c r="AA296" s="7" t="s">
        <v>42</v>
      </c>
      <c r="AB296" s="7" t="s">
        <v>42</v>
      </c>
      <c r="AC296" s="7" t="s">
        <v>42</v>
      </c>
      <c r="AD296" s="10">
        <f>I296 + Q296 + U296 + W296</f>
      </c>
      <c r="AE296" s="10">
        <f>IF(AD296&lt;=2,0,IF(AD296&lt;=5,1,2))</f>
      </c>
      <c r="AF296" s="7"/>
    </row>
    <row x14ac:dyDescent="0.25" r="297" customHeight="1" ht="17.25" hidden="1">
      <c r="A297" s="7" t="s">
        <v>76</v>
      </c>
      <c r="B297" s="7" t="s">
        <v>32</v>
      </c>
      <c r="C297" s="16" t="s">
        <v>206</v>
      </c>
      <c r="D297" s="10">
        <v>1</v>
      </c>
      <c r="E297" s="7" t="s">
        <v>51</v>
      </c>
      <c r="F297" s="10">
        <v>143</v>
      </c>
      <c r="G297" s="11">
        <v>69</v>
      </c>
      <c r="H297" s="12">
        <f>G297/((F297/100)*(F297/100))</f>
      </c>
      <c r="I297" s="11">
        <f>IF(H297&lt;25,0,IF(H297&lt;30,1,2))</f>
      </c>
      <c r="J297" s="13">
        <v>3</v>
      </c>
      <c r="K297" s="7" t="s">
        <v>72</v>
      </c>
      <c r="L297" s="7" t="s">
        <v>94</v>
      </c>
      <c r="M297" s="7" t="s">
        <v>185</v>
      </c>
      <c r="N297" s="7" t="s">
        <v>201</v>
      </c>
      <c r="O297" s="7" t="s">
        <v>80</v>
      </c>
      <c r="P297" s="15" t="s">
        <v>132</v>
      </c>
      <c r="Q297" s="10">
        <f>IF(P297="None of the above",0,2)</f>
      </c>
      <c r="R297" s="7" t="s">
        <v>56</v>
      </c>
      <c r="S297" s="15" t="s">
        <v>48</v>
      </c>
      <c r="T297" s="7" t="s">
        <v>96</v>
      </c>
      <c r="U297" s="10">
        <f>IF(T297="Heavy physical",0,IF(T297="Moderate activity",1,2))</f>
      </c>
      <c r="V297" s="5" t="s">
        <v>69</v>
      </c>
      <c r="W297" s="10">
        <f>IF(V297="7–8 hours",0,IF(V297="6–7 hours",1,2))</f>
      </c>
      <c r="X297" s="7" t="s">
        <v>45</v>
      </c>
      <c r="Y297" s="15" t="s">
        <v>75</v>
      </c>
      <c r="Z297" s="7" t="s">
        <v>47</v>
      </c>
      <c r="AA297" s="7" t="s">
        <v>42</v>
      </c>
      <c r="AB297" s="7" t="s">
        <v>42</v>
      </c>
      <c r="AC297" s="7" t="s">
        <v>42</v>
      </c>
      <c r="AD297" s="10">
        <f>I297 + Q297 + U297 + W297</f>
      </c>
      <c r="AE297" s="10">
        <f>IF(AD297&lt;=2,0,IF(AD297&lt;=5,1,2))</f>
      </c>
      <c r="AF297" s="7"/>
    </row>
    <row x14ac:dyDescent="0.25" r="298" customHeight="1" ht="17.25" hidden="1">
      <c r="A298" s="7" t="s">
        <v>31</v>
      </c>
      <c r="B298" s="7" t="s">
        <v>32</v>
      </c>
      <c r="C298" s="7" t="s">
        <v>33</v>
      </c>
      <c r="D298" s="10">
        <v>6</v>
      </c>
      <c r="E298" s="7" t="s">
        <v>34</v>
      </c>
      <c r="F298" s="10">
        <v>150</v>
      </c>
      <c r="G298" s="11">
        <v>46</v>
      </c>
      <c r="H298" s="12">
        <f>G298/((F298/100)*(F298/100))</f>
      </c>
      <c r="I298" s="11">
        <f>IF(H298&lt;25,0,IF(H298&lt;30,1,2))</f>
      </c>
      <c r="J298" s="13">
        <v>3</v>
      </c>
      <c r="K298" s="7" t="s">
        <v>105</v>
      </c>
      <c r="L298" s="7" t="s">
        <v>152</v>
      </c>
      <c r="M298" s="7" t="s">
        <v>185</v>
      </c>
      <c r="N298" s="7" t="s">
        <v>201</v>
      </c>
      <c r="O298" s="7" t="s">
        <v>80</v>
      </c>
      <c r="P298" s="15" t="s">
        <v>132</v>
      </c>
      <c r="Q298" s="10">
        <f>IF(P298="None of the above",0,2)</f>
      </c>
      <c r="R298" s="7" t="s">
        <v>56</v>
      </c>
      <c r="S298" s="7" t="s">
        <v>42</v>
      </c>
      <c r="T298" s="7" t="s">
        <v>96</v>
      </c>
      <c r="U298" s="10">
        <f>IF(T298="Heavy physical",0,IF(T298="Moderate activity",1,2))</f>
      </c>
      <c r="V298" s="5" t="s">
        <v>97</v>
      </c>
      <c r="W298" s="10">
        <f>IF(V298="7–8 hours",0,IF(V298="6–7 hours",1,2))</f>
      </c>
      <c r="X298" s="7" t="s">
        <v>45</v>
      </c>
      <c r="Y298" s="15" t="s">
        <v>64</v>
      </c>
      <c r="Z298" s="7" t="s">
        <v>92</v>
      </c>
      <c r="AA298" s="7" t="s">
        <v>48</v>
      </c>
      <c r="AB298" s="7" t="s">
        <v>42</v>
      </c>
      <c r="AC298" s="7" t="s">
        <v>42</v>
      </c>
      <c r="AD298" s="10">
        <f>I298 + Q298 + U298 + W298</f>
      </c>
      <c r="AE298" s="10">
        <f>IF(AD298&lt;=2,0,IF(AD298&lt;=5,1,2))</f>
      </c>
      <c r="AF298" s="7"/>
    </row>
    <row x14ac:dyDescent="0.25" r="299" customHeight="1" ht="17.25" hidden="1">
      <c r="A299" s="7" t="s">
        <v>49</v>
      </c>
      <c r="B299" s="7" t="s">
        <v>59</v>
      </c>
      <c r="C299" s="7" t="s">
        <v>120</v>
      </c>
      <c r="D299" s="10">
        <v>7</v>
      </c>
      <c r="E299" s="7" t="s">
        <v>51</v>
      </c>
      <c r="F299" s="10">
        <v>194</v>
      </c>
      <c r="G299" s="11">
        <v>94</v>
      </c>
      <c r="H299" s="12">
        <f>G299/((F299/100)*(F299/100))</f>
      </c>
      <c r="I299" s="11">
        <f>IF(H299&lt;25,0,IF(H299&lt;30,1,2))</f>
      </c>
      <c r="J299" s="13">
        <v>1</v>
      </c>
      <c r="K299" s="7" t="s">
        <v>86</v>
      </c>
      <c r="L299" s="7" t="s">
        <v>129</v>
      </c>
      <c r="M299" s="7" t="s">
        <v>185</v>
      </c>
      <c r="N299" s="7" t="s">
        <v>201</v>
      </c>
      <c r="O299" s="7" t="s">
        <v>68</v>
      </c>
      <c r="P299" s="15" t="s">
        <v>132</v>
      </c>
      <c r="Q299" s="10">
        <f>IF(P299="None of the above",0,2)</f>
      </c>
      <c r="R299" s="7" t="s">
        <v>89</v>
      </c>
      <c r="S299" s="15" t="s">
        <v>48</v>
      </c>
      <c r="T299" s="7" t="s">
        <v>96</v>
      </c>
      <c r="U299" s="10">
        <f>IF(T299="Heavy physical",0,IF(T299="Moderate activity",1,2))</f>
      </c>
      <c r="V299" s="5" t="s">
        <v>97</v>
      </c>
      <c r="W299" s="10">
        <f>IF(V299="7–8 hours",0,IF(V299="6–7 hours",1,2))</f>
      </c>
      <c r="X299" s="7" t="s">
        <v>70</v>
      </c>
      <c r="Y299" s="15" t="s">
        <v>64</v>
      </c>
      <c r="Z299" s="7" t="s">
        <v>65</v>
      </c>
      <c r="AA299" s="7" t="s">
        <v>42</v>
      </c>
      <c r="AB299" s="7" t="s">
        <v>42</v>
      </c>
      <c r="AC299" s="7" t="s">
        <v>42</v>
      </c>
      <c r="AD299" s="10">
        <f>I299 + Q299 + U299 + W299</f>
      </c>
      <c r="AE299" s="10">
        <f>IF(AD299&lt;=2,0,IF(AD299&lt;=5,1,2))</f>
      </c>
      <c r="AF299" s="7"/>
    </row>
    <row x14ac:dyDescent="0.25" r="300" customHeight="1" ht="17.25" hidden="1">
      <c r="A300" s="7" t="s">
        <v>49</v>
      </c>
      <c r="B300" s="7" t="s">
        <v>84</v>
      </c>
      <c r="C300" s="15" t="s">
        <v>110</v>
      </c>
      <c r="D300" s="10">
        <v>6</v>
      </c>
      <c r="E300" s="7" t="s">
        <v>34</v>
      </c>
      <c r="F300" s="10">
        <v>148</v>
      </c>
      <c r="G300" s="11">
        <v>108</v>
      </c>
      <c r="H300" s="12">
        <f>G300/((F300/100)*(F300/100))</f>
      </c>
      <c r="I300" s="11">
        <f>IF(H300&lt;25,0,IF(H300&lt;30,1,2))</f>
      </c>
      <c r="J300" s="13">
        <v>3</v>
      </c>
      <c r="K300" s="7" t="s">
        <v>86</v>
      </c>
      <c r="L300" s="7" t="s">
        <v>147</v>
      </c>
      <c r="M300" s="7" t="s">
        <v>185</v>
      </c>
      <c r="N300" s="7" t="s">
        <v>201</v>
      </c>
      <c r="O300" s="7" t="s">
        <v>63</v>
      </c>
      <c r="P300" s="15" t="s">
        <v>132</v>
      </c>
      <c r="Q300" s="10">
        <f>IF(P300="None of the above",0,2)</f>
      </c>
      <c r="R300" s="7" t="s">
        <v>56</v>
      </c>
      <c r="S300" s="15" t="s">
        <v>48</v>
      </c>
      <c r="T300" s="7" t="s">
        <v>99</v>
      </c>
      <c r="U300" s="10">
        <f>IF(T300="Heavy physical",0,IF(T300="Moderate activity",1,2))</f>
      </c>
      <c r="V300" s="5" t="s">
        <v>57</v>
      </c>
      <c r="W300" s="10">
        <f>IF(V300="7–8 hours",0,IF(V300="6–7 hours",1,2))</f>
      </c>
      <c r="X300" s="7" t="s">
        <v>102</v>
      </c>
      <c r="Y300" s="7" t="s">
        <v>58</v>
      </c>
      <c r="Z300" s="7" t="s">
        <v>45</v>
      </c>
      <c r="AA300" s="7" t="s">
        <v>48</v>
      </c>
      <c r="AB300" s="7" t="s">
        <v>48</v>
      </c>
      <c r="AC300" s="7" t="s">
        <v>42</v>
      </c>
      <c r="AD300" s="10">
        <f>I300 + Q300 + U300 + W300</f>
      </c>
      <c r="AE300" s="10">
        <f>IF(AD300&lt;=2,0,IF(AD300&lt;=5,1,2))</f>
      </c>
      <c r="AF300" s="7"/>
    </row>
    <row x14ac:dyDescent="0.25" r="301" customHeight="1" ht="17.25" hidden="1">
      <c r="A301" s="7" t="s">
        <v>49</v>
      </c>
      <c r="B301" s="7" t="s">
        <v>93</v>
      </c>
      <c r="C301" s="7" t="s">
        <v>50</v>
      </c>
      <c r="D301" s="10">
        <v>5</v>
      </c>
      <c r="E301" s="7" t="s">
        <v>34</v>
      </c>
      <c r="F301" s="10">
        <v>161</v>
      </c>
      <c r="G301" s="11">
        <v>71</v>
      </c>
      <c r="H301" s="12">
        <f>G301/((F301/100)*(F301/100))</f>
      </c>
      <c r="I301" s="11">
        <f>IF(H301&lt;25,0,IF(H301&lt;30,1,2))</f>
      </c>
      <c r="J301" s="13">
        <v>3</v>
      </c>
      <c r="K301" s="7" t="s">
        <v>35</v>
      </c>
      <c r="L301" s="7" t="s">
        <v>53</v>
      </c>
      <c r="M301" s="7" t="s">
        <v>185</v>
      </c>
      <c r="N301" s="7" t="s">
        <v>201</v>
      </c>
      <c r="O301" s="7" t="s">
        <v>63</v>
      </c>
      <c r="P301" s="15" t="s">
        <v>132</v>
      </c>
      <c r="Q301" s="10">
        <f>IF(P301="None of the above",0,2)</f>
      </c>
      <c r="R301" s="7" t="s">
        <v>56</v>
      </c>
      <c r="S301" s="7" t="s">
        <v>42</v>
      </c>
      <c r="T301" s="7" t="s">
        <v>96</v>
      </c>
      <c r="U301" s="10">
        <f>IF(T301="Heavy physical",0,IF(T301="Moderate activity",1,2))</f>
      </c>
      <c r="V301" s="5" t="s">
        <v>97</v>
      </c>
      <c r="W301" s="10">
        <f>IF(V301="7–8 hours",0,IF(V301="6–7 hours",1,2))</f>
      </c>
      <c r="X301" s="7" t="s">
        <v>102</v>
      </c>
      <c r="Y301" s="7" t="s">
        <v>58</v>
      </c>
      <c r="Z301" s="7" t="s">
        <v>92</v>
      </c>
      <c r="AA301" s="7" t="s">
        <v>48</v>
      </c>
      <c r="AB301" s="7" t="s">
        <v>48</v>
      </c>
      <c r="AC301" s="7" t="s">
        <v>42</v>
      </c>
      <c r="AD301" s="10">
        <f>I301 + Q301 + U301 + W301</f>
      </c>
      <c r="AE301" s="10">
        <f>IF(AD301&lt;=2,0,IF(AD301&lt;=5,1,2))</f>
      </c>
      <c r="AF301" s="7"/>
    </row>
    <row x14ac:dyDescent="0.25" r="302" customHeight="1" ht="17.25" hidden="1">
      <c r="A302" s="7" t="s">
        <v>49</v>
      </c>
      <c r="B302" s="7" t="s">
        <v>66</v>
      </c>
      <c r="C302" s="16" t="s">
        <v>206</v>
      </c>
      <c r="D302" s="10">
        <v>7</v>
      </c>
      <c r="E302" s="7" t="s">
        <v>34</v>
      </c>
      <c r="F302" s="10">
        <v>155</v>
      </c>
      <c r="G302" s="11">
        <v>86</v>
      </c>
      <c r="H302" s="12">
        <f>G302/((F302/100)*(F302/100))</f>
      </c>
      <c r="I302" s="11">
        <f>IF(H302&lt;25,0,IF(H302&lt;30,1,2))</f>
      </c>
      <c r="J302" s="13">
        <v>2</v>
      </c>
      <c r="K302" s="7" t="s">
        <v>72</v>
      </c>
      <c r="L302" s="7" t="s">
        <v>152</v>
      </c>
      <c r="M302" s="7" t="s">
        <v>54</v>
      </c>
      <c r="N302" s="7" t="s">
        <v>201</v>
      </c>
      <c r="O302" s="7" t="s">
        <v>74</v>
      </c>
      <c r="P302" s="15" t="s">
        <v>132</v>
      </c>
      <c r="Q302" s="10">
        <f>IF(P302="None of the above",0,2)</f>
      </c>
      <c r="R302" s="7" t="s">
        <v>56</v>
      </c>
      <c r="S302" s="15" t="s">
        <v>48</v>
      </c>
      <c r="T302" s="7" t="s">
        <v>96</v>
      </c>
      <c r="U302" s="10">
        <f>IF(T302="Heavy physical",0,IF(T302="Moderate activity",1,2))</f>
      </c>
      <c r="V302" s="5" t="s">
        <v>44</v>
      </c>
      <c r="W302" s="10">
        <f>IF(V302="7–8 hours",0,IF(V302="6–7 hours",1,2))</f>
      </c>
      <c r="X302" s="7" t="s">
        <v>102</v>
      </c>
      <c r="Y302" s="15" t="s">
        <v>64</v>
      </c>
      <c r="Z302" s="7" t="s">
        <v>45</v>
      </c>
      <c r="AA302" s="7" t="s">
        <v>48</v>
      </c>
      <c r="AB302" s="7" t="s">
        <v>42</v>
      </c>
      <c r="AC302" s="7" t="s">
        <v>42</v>
      </c>
      <c r="AD302" s="10">
        <f>I302 + Q302 + U302 + W302</f>
      </c>
      <c r="AE302" s="10">
        <f>IF(AD302&lt;=2,0,IF(AD302&lt;=5,1,2))</f>
      </c>
      <c r="AF302" s="7"/>
    </row>
    <row x14ac:dyDescent="0.25" r="303" customHeight="1" ht="17.25" hidden="1">
      <c r="A303" s="7" t="s">
        <v>31</v>
      </c>
      <c r="B303" s="7" t="s">
        <v>93</v>
      </c>
      <c r="C303" s="7" t="s">
        <v>33</v>
      </c>
      <c r="D303" s="10">
        <v>6</v>
      </c>
      <c r="E303" s="7" t="s">
        <v>51</v>
      </c>
      <c r="F303" s="10">
        <v>185</v>
      </c>
      <c r="G303" s="11">
        <v>100</v>
      </c>
      <c r="H303" s="12">
        <f>G303/((F303/100)*(F303/100))</f>
      </c>
      <c r="I303" s="11">
        <f>IF(H303&lt;25,0,IF(H303&lt;30,1,2))</f>
      </c>
      <c r="J303" s="13">
        <v>3</v>
      </c>
      <c r="K303" s="7" t="s">
        <v>52</v>
      </c>
      <c r="L303" s="7" t="s">
        <v>145</v>
      </c>
      <c r="M303" s="7" t="s">
        <v>185</v>
      </c>
      <c r="N303" s="7" t="s">
        <v>201</v>
      </c>
      <c r="O303" s="7" t="s">
        <v>74</v>
      </c>
      <c r="P303" s="15" t="s">
        <v>132</v>
      </c>
      <c r="Q303" s="10">
        <f>IF(P303="None of the above",0,2)</f>
      </c>
      <c r="R303" s="7" t="s">
        <v>56</v>
      </c>
      <c r="S303" s="15" t="s">
        <v>48</v>
      </c>
      <c r="T303" s="7" t="s">
        <v>99</v>
      </c>
      <c r="U303" s="10">
        <f>IF(T303="Heavy physical",0,IF(T303="Moderate activity",1,2))</f>
      </c>
      <c r="V303" s="5" t="s">
        <v>97</v>
      </c>
      <c r="W303" s="10">
        <f>IF(V303="7–8 hours",0,IF(V303="6–7 hours",1,2))</f>
      </c>
      <c r="X303" s="7" t="s">
        <v>102</v>
      </c>
      <c r="Y303" s="15" t="s">
        <v>64</v>
      </c>
      <c r="Z303" s="7" t="s">
        <v>45</v>
      </c>
      <c r="AA303" s="7" t="s">
        <v>42</v>
      </c>
      <c r="AB303" s="7" t="s">
        <v>42</v>
      </c>
      <c r="AC303" s="7" t="s">
        <v>42</v>
      </c>
      <c r="AD303" s="10">
        <f>I303 + Q303 + U303 + W303</f>
      </c>
      <c r="AE303" s="10">
        <f>IF(AD303&lt;=2,0,IF(AD303&lt;=5,1,2))</f>
      </c>
      <c r="AF303" s="7"/>
    </row>
    <row x14ac:dyDescent="0.25" r="304" customHeight="1" ht="17.25" hidden="1">
      <c r="A304" s="7" t="s">
        <v>76</v>
      </c>
      <c r="B304" s="7" t="s">
        <v>59</v>
      </c>
      <c r="C304" s="15" t="s">
        <v>110</v>
      </c>
      <c r="D304" s="10">
        <v>7</v>
      </c>
      <c r="E304" s="7" t="s">
        <v>34</v>
      </c>
      <c r="F304" s="10">
        <v>175</v>
      </c>
      <c r="G304" s="11">
        <v>62</v>
      </c>
      <c r="H304" s="12">
        <f>G304/((F304/100)*(F304/100))</f>
      </c>
      <c r="I304" s="11">
        <f>IF(H304&lt;25,0,IF(H304&lt;30,1,2))</f>
      </c>
      <c r="J304" s="13">
        <v>1</v>
      </c>
      <c r="K304" s="7" t="s">
        <v>72</v>
      </c>
      <c r="L304" s="7" t="s">
        <v>143</v>
      </c>
      <c r="M304" s="7" t="s">
        <v>54</v>
      </c>
      <c r="N304" s="7" t="s">
        <v>201</v>
      </c>
      <c r="O304" s="7" t="s">
        <v>80</v>
      </c>
      <c r="P304" s="15" t="s">
        <v>132</v>
      </c>
      <c r="Q304" s="10">
        <f>IF(P304="None of the above",0,2)</f>
      </c>
      <c r="R304" s="7" t="s">
        <v>56</v>
      </c>
      <c r="S304" s="7" t="s">
        <v>42</v>
      </c>
      <c r="T304" s="7" t="s">
        <v>96</v>
      </c>
      <c r="U304" s="10">
        <f>IF(T304="Heavy physical",0,IF(T304="Moderate activity",1,2))</f>
      </c>
      <c r="V304" s="5" t="s">
        <v>69</v>
      </c>
      <c r="W304" s="10">
        <f>IF(V304="7–8 hours",0,IF(V304="6–7 hours",1,2))</f>
      </c>
      <c r="X304" s="7" t="s">
        <v>70</v>
      </c>
      <c r="Y304" s="7" t="s">
        <v>58</v>
      </c>
      <c r="Z304" s="7" t="s">
        <v>47</v>
      </c>
      <c r="AA304" s="7" t="s">
        <v>42</v>
      </c>
      <c r="AB304" s="7" t="s">
        <v>48</v>
      </c>
      <c r="AC304" s="7" t="s">
        <v>48</v>
      </c>
      <c r="AD304" s="10">
        <f>I304 + Q304 + U304 + W304</f>
      </c>
      <c r="AE304" s="10">
        <f>IF(AD304&lt;=2,0,IF(AD304&lt;=5,1,2))</f>
      </c>
      <c r="AF304" s="7"/>
    </row>
    <row x14ac:dyDescent="0.25" r="305" customHeight="1" ht="17.25" hidden="1">
      <c r="A305" s="7" t="s">
        <v>49</v>
      </c>
      <c r="B305" s="7" t="s">
        <v>71</v>
      </c>
      <c r="C305" s="16" t="s">
        <v>206</v>
      </c>
      <c r="D305" s="10">
        <v>8</v>
      </c>
      <c r="E305" s="7" t="s">
        <v>34</v>
      </c>
      <c r="F305" s="10">
        <v>190</v>
      </c>
      <c r="G305" s="11">
        <v>85</v>
      </c>
      <c r="H305" s="12">
        <f>G305/((F305/100)*(F305/100))</f>
      </c>
      <c r="I305" s="11">
        <f>IF(H305&lt;25,0,IF(H305&lt;30,1,2))</f>
      </c>
      <c r="J305" s="13">
        <v>2</v>
      </c>
      <c r="K305" s="7" t="s">
        <v>52</v>
      </c>
      <c r="L305" s="7" t="s">
        <v>134</v>
      </c>
      <c r="M305" s="7" t="s">
        <v>54</v>
      </c>
      <c r="N305" s="7" t="s">
        <v>201</v>
      </c>
      <c r="O305" s="7" t="s">
        <v>63</v>
      </c>
      <c r="P305" s="15" t="s">
        <v>132</v>
      </c>
      <c r="Q305" s="10">
        <f>IF(P305="None of the above",0,2)</f>
      </c>
      <c r="R305" s="7" t="s">
        <v>56</v>
      </c>
      <c r="S305" s="15" t="s">
        <v>48</v>
      </c>
      <c r="T305" s="7" t="s">
        <v>96</v>
      </c>
      <c r="U305" s="10">
        <f>IF(T305="Heavy physical",0,IF(T305="Moderate activity",1,2))</f>
      </c>
      <c r="V305" s="5" t="s">
        <v>44</v>
      </c>
      <c r="W305" s="10">
        <f>IF(V305="7–8 hours",0,IF(V305="6–7 hours",1,2))</f>
      </c>
      <c r="X305" s="7" t="s">
        <v>70</v>
      </c>
      <c r="Y305" s="15" t="s">
        <v>75</v>
      </c>
      <c r="Z305" s="7" t="s">
        <v>47</v>
      </c>
      <c r="AA305" s="7" t="s">
        <v>48</v>
      </c>
      <c r="AB305" s="7" t="s">
        <v>42</v>
      </c>
      <c r="AC305" s="7" t="s">
        <v>48</v>
      </c>
      <c r="AD305" s="10">
        <f>I305 + Q305 + U305 + W305</f>
      </c>
      <c r="AE305" s="10">
        <f>IF(AD305&lt;=2,0,IF(AD305&lt;=5,1,2))</f>
      </c>
      <c r="AF305" s="7"/>
    </row>
    <row x14ac:dyDescent="0.25" r="306" customHeight="1" ht="17.25" hidden="1">
      <c r="A306" s="7" t="s">
        <v>76</v>
      </c>
      <c r="B306" s="7" t="s">
        <v>66</v>
      </c>
      <c r="C306" s="7" t="s">
        <v>50</v>
      </c>
      <c r="D306" s="10">
        <v>2</v>
      </c>
      <c r="E306" s="7" t="s">
        <v>34</v>
      </c>
      <c r="F306" s="10">
        <v>154</v>
      </c>
      <c r="G306" s="11">
        <v>73</v>
      </c>
      <c r="H306" s="12">
        <f>G306/((F306/100)*(F306/100))</f>
      </c>
      <c r="I306" s="11">
        <f>IF(H306&lt;25,0,IF(H306&lt;30,1,2))</f>
      </c>
      <c r="J306" s="13">
        <v>2</v>
      </c>
      <c r="K306" s="7" t="s">
        <v>105</v>
      </c>
      <c r="L306" s="7" t="s">
        <v>147</v>
      </c>
      <c r="M306" s="7" t="s">
        <v>185</v>
      </c>
      <c r="N306" s="7" t="s">
        <v>201</v>
      </c>
      <c r="O306" s="7" t="s">
        <v>80</v>
      </c>
      <c r="P306" s="15" t="s">
        <v>132</v>
      </c>
      <c r="Q306" s="10">
        <f>IF(P306="None of the above",0,2)</f>
      </c>
      <c r="R306" s="7" t="s">
        <v>89</v>
      </c>
      <c r="S306" s="15" t="s">
        <v>48</v>
      </c>
      <c r="T306" s="7" t="s">
        <v>99</v>
      </c>
      <c r="U306" s="10">
        <f>IF(T306="Heavy physical",0,IF(T306="Moderate activity",1,2))</f>
      </c>
      <c r="V306" s="5" t="s">
        <v>57</v>
      </c>
      <c r="W306" s="10">
        <f>IF(V306="7–8 hours",0,IF(V306="6–7 hours",1,2))</f>
      </c>
      <c r="X306" s="7" t="s">
        <v>83</v>
      </c>
      <c r="Y306" s="7" t="s">
        <v>58</v>
      </c>
      <c r="Z306" s="7" t="s">
        <v>47</v>
      </c>
      <c r="AA306" s="7" t="s">
        <v>42</v>
      </c>
      <c r="AB306" s="7" t="s">
        <v>42</v>
      </c>
      <c r="AC306" s="7" t="s">
        <v>48</v>
      </c>
      <c r="AD306" s="10">
        <f>I306 + Q306 + U306 + W306</f>
      </c>
      <c r="AE306" s="10">
        <f>IF(AD306&lt;=2,0,IF(AD306&lt;=5,1,2))</f>
      </c>
      <c r="AF306" s="7"/>
    </row>
    <row x14ac:dyDescent="0.25" r="307" customHeight="1" ht="17.25" hidden="1">
      <c r="A307" s="7" t="s">
        <v>76</v>
      </c>
      <c r="B307" s="7" t="s">
        <v>59</v>
      </c>
      <c r="C307" s="7" t="s">
        <v>33</v>
      </c>
      <c r="D307" s="10">
        <v>6</v>
      </c>
      <c r="E307" s="7" t="s">
        <v>51</v>
      </c>
      <c r="F307" s="10">
        <v>157</v>
      </c>
      <c r="G307" s="11">
        <v>113</v>
      </c>
      <c r="H307" s="12">
        <f>G307/((F307/100)*(F307/100))</f>
      </c>
      <c r="I307" s="11">
        <f>IF(H307&lt;25,0,IF(H307&lt;30,1,2))</f>
      </c>
      <c r="J307" s="13">
        <v>2</v>
      </c>
      <c r="K307" s="7" t="s">
        <v>35</v>
      </c>
      <c r="L307" s="7" t="s">
        <v>183</v>
      </c>
      <c r="M307" s="7" t="s">
        <v>54</v>
      </c>
      <c r="N307" s="7" t="s">
        <v>201</v>
      </c>
      <c r="O307" s="7" t="s">
        <v>63</v>
      </c>
      <c r="P307" s="15" t="s">
        <v>132</v>
      </c>
      <c r="Q307" s="10">
        <f>IF(P307="None of the above",0,2)</f>
      </c>
      <c r="R307" s="15" t="s">
        <v>56</v>
      </c>
      <c r="S307" s="7" t="s">
        <v>42</v>
      </c>
      <c r="T307" s="7" t="s">
        <v>96</v>
      </c>
      <c r="U307" s="10">
        <f>IF(T307="Heavy physical",0,IF(T307="Moderate activity",1,2))</f>
      </c>
      <c r="V307" s="5" t="s">
        <v>97</v>
      </c>
      <c r="W307" s="10">
        <f>IF(V307="7–8 hours",0,IF(V307="6–7 hours",1,2))</f>
      </c>
      <c r="X307" s="7" t="s">
        <v>102</v>
      </c>
      <c r="Y307" s="15" t="s">
        <v>64</v>
      </c>
      <c r="Z307" s="7" t="s">
        <v>65</v>
      </c>
      <c r="AA307" s="7" t="s">
        <v>42</v>
      </c>
      <c r="AB307" s="7" t="s">
        <v>42</v>
      </c>
      <c r="AC307" s="7" t="s">
        <v>42</v>
      </c>
      <c r="AD307" s="10">
        <f>I307 + Q307 + U307 + W307</f>
      </c>
      <c r="AE307" s="10">
        <f>IF(AD307&lt;=2,0,IF(AD307&lt;=5,1,2))</f>
      </c>
      <c r="AF307" s="7"/>
    </row>
    <row x14ac:dyDescent="0.25" r="308" customHeight="1" ht="17.25" hidden="1">
      <c r="A308" s="7" t="s">
        <v>49</v>
      </c>
      <c r="B308" s="7" t="s">
        <v>93</v>
      </c>
      <c r="C308" s="16" t="s">
        <v>206</v>
      </c>
      <c r="D308" s="10">
        <v>4</v>
      </c>
      <c r="E308" s="7" t="s">
        <v>34</v>
      </c>
      <c r="F308" s="10">
        <v>152</v>
      </c>
      <c r="G308" s="11">
        <v>79</v>
      </c>
      <c r="H308" s="12">
        <f>G308/((F308/100)*(F308/100))</f>
      </c>
      <c r="I308" s="11">
        <f>IF(H308&lt;25,0,IF(H308&lt;30,1,2))</f>
      </c>
      <c r="J308" s="13">
        <v>1</v>
      </c>
      <c r="K308" s="7" t="s">
        <v>61</v>
      </c>
      <c r="L308" s="7" t="s">
        <v>95</v>
      </c>
      <c r="M308" s="7" t="s">
        <v>185</v>
      </c>
      <c r="N308" s="7" t="s">
        <v>201</v>
      </c>
      <c r="O308" s="7" t="s">
        <v>74</v>
      </c>
      <c r="P308" s="15" t="s">
        <v>132</v>
      </c>
      <c r="Q308" s="10">
        <f>IF(P308="None of the above",0,2)</f>
      </c>
      <c r="R308" s="7" t="s">
        <v>89</v>
      </c>
      <c r="S308" s="15" t="s">
        <v>48</v>
      </c>
      <c r="T308" s="7" t="s">
        <v>99</v>
      </c>
      <c r="U308" s="10">
        <f>IF(T308="Heavy physical",0,IF(T308="Moderate activity",1,2))</f>
      </c>
      <c r="V308" s="5" t="s">
        <v>57</v>
      </c>
      <c r="W308" s="10">
        <f>IF(V308="7–8 hours",0,IF(V308="6–7 hours",1,2))</f>
      </c>
      <c r="X308" s="7" t="s">
        <v>45</v>
      </c>
      <c r="Y308" s="7" t="s">
        <v>58</v>
      </c>
      <c r="Z308" s="7" t="s">
        <v>45</v>
      </c>
      <c r="AA308" s="7" t="s">
        <v>48</v>
      </c>
      <c r="AB308" s="7" t="s">
        <v>48</v>
      </c>
      <c r="AC308" s="7" t="s">
        <v>48</v>
      </c>
      <c r="AD308" s="10">
        <f>I308 + Q308 + U308 + W308</f>
      </c>
      <c r="AE308" s="10">
        <f>IF(AD308&lt;=2,0,IF(AD308&lt;=5,1,2))</f>
      </c>
      <c r="AF308" s="7"/>
    </row>
    <row x14ac:dyDescent="0.25" r="309" customHeight="1" ht="17.25" hidden="1">
      <c r="A309" s="7" t="s">
        <v>149</v>
      </c>
      <c r="B309" s="7" t="s">
        <v>77</v>
      </c>
      <c r="C309" s="15" t="s">
        <v>110</v>
      </c>
      <c r="D309" s="10">
        <v>3</v>
      </c>
      <c r="E309" s="7" t="s">
        <v>34</v>
      </c>
      <c r="F309" s="10">
        <v>183</v>
      </c>
      <c r="G309" s="11">
        <v>83</v>
      </c>
      <c r="H309" s="12">
        <f>G309/((F309/100)*(F309/100))</f>
      </c>
      <c r="I309" s="11">
        <f>IF(H309&lt;25,0,IF(H309&lt;30,1,2))</f>
      </c>
      <c r="J309" s="13">
        <v>2</v>
      </c>
      <c r="K309" s="7" t="s">
        <v>72</v>
      </c>
      <c r="L309" s="7" t="s">
        <v>111</v>
      </c>
      <c r="M309" s="7" t="s">
        <v>185</v>
      </c>
      <c r="N309" s="7" t="s">
        <v>201</v>
      </c>
      <c r="O309" s="7" t="s">
        <v>63</v>
      </c>
      <c r="P309" s="15" t="s">
        <v>132</v>
      </c>
      <c r="Q309" s="10">
        <f>IF(P309="None of the above",0,2)</f>
      </c>
      <c r="R309" s="15" t="s">
        <v>56</v>
      </c>
      <c r="S309" s="15" t="s">
        <v>48</v>
      </c>
      <c r="T309" s="7" t="s">
        <v>96</v>
      </c>
      <c r="U309" s="10">
        <f>IF(T309="Heavy physical",0,IF(T309="Moderate activity",1,2))</f>
      </c>
      <c r="V309" s="5" t="s">
        <v>69</v>
      </c>
      <c r="W309" s="10">
        <f>IF(V309="7–8 hours",0,IF(V309="6–7 hours",1,2))</f>
      </c>
      <c r="X309" s="7" t="s">
        <v>102</v>
      </c>
      <c r="Y309" s="15" t="s">
        <v>64</v>
      </c>
      <c r="Z309" s="7" t="s">
        <v>45</v>
      </c>
      <c r="AA309" s="7" t="s">
        <v>48</v>
      </c>
      <c r="AB309" s="7" t="s">
        <v>48</v>
      </c>
      <c r="AC309" s="7" t="s">
        <v>42</v>
      </c>
      <c r="AD309" s="10">
        <f>I309 + Q309 + U309 + W309</f>
      </c>
      <c r="AE309" s="10">
        <f>IF(AD309&lt;=2,0,IF(AD309&lt;=5,1,2))</f>
      </c>
      <c r="AF309" s="7"/>
    </row>
    <row x14ac:dyDescent="0.25" r="310" customHeight="1" ht="17.25" hidden="1">
      <c r="A310" s="7" t="s">
        <v>49</v>
      </c>
      <c r="B310" s="7" t="s">
        <v>71</v>
      </c>
      <c r="C310" s="15" t="s">
        <v>50</v>
      </c>
      <c r="D310" s="10">
        <v>1</v>
      </c>
      <c r="E310" s="7" t="s">
        <v>51</v>
      </c>
      <c r="F310" s="10">
        <v>174</v>
      </c>
      <c r="G310" s="11">
        <v>63</v>
      </c>
      <c r="H310" s="12">
        <f>G310/((F310/100)*(F310/100))</f>
      </c>
      <c r="I310" s="11">
        <f>IF(H310&lt;25,0,IF(H310&lt;30,1,2))</f>
      </c>
      <c r="J310" s="13">
        <v>1</v>
      </c>
      <c r="K310" s="7" t="s">
        <v>52</v>
      </c>
      <c r="L310" s="7" t="s">
        <v>207</v>
      </c>
      <c r="M310" s="7" t="s">
        <v>41</v>
      </c>
      <c r="N310" s="7" t="s">
        <v>201</v>
      </c>
      <c r="O310" s="7" t="s">
        <v>63</v>
      </c>
      <c r="P310" s="15" t="s">
        <v>132</v>
      </c>
      <c r="Q310" s="10">
        <f>IF(P310="None of the above",0,2)</f>
      </c>
      <c r="R310" s="15" t="s">
        <v>56</v>
      </c>
      <c r="S310" s="7" t="s">
        <v>42</v>
      </c>
      <c r="T310" s="7" t="s">
        <v>96</v>
      </c>
      <c r="U310" s="10">
        <f>IF(T310="Heavy physical",0,IF(T310="Moderate activity",1,2))</f>
      </c>
      <c r="V310" s="5" t="s">
        <v>69</v>
      </c>
      <c r="W310" s="10">
        <f>IF(V310="7–8 hours",0,IF(V310="6–7 hours",1,2))</f>
      </c>
      <c r="X310" s="7" t="s">
        <v>102</v>
      </c>
      <c r="Y310" s="7" t="s">
        <v>58</v>
      </c>
      <c r="Z310" s="7" t="s">
        <v>45</v>
      </c>
      <c r="AA310" s="7" t="s">
        <v>42</v>
      </c>
      <c r="AB310" s="7" t="s">
        <v>42</v>
      </c>
      <c r="AC310" s="7" t="s">
        <v>42</v>
      </c>
      <c r="AD310" s="10">
        <f>I310 + Q310 + U310 + W310</f>
      </c>
      <c r="AE310" s="10">
        <f>IF(AD310&lt;=2,0,IF(AD310&lt;=5,1,2))</f>
      </c>
      <c r="AF310" s="7"/>
    </row>
    <row x14ac:dyDescent="0.25" r="311" customHeight="1" ht="17.25" hidden="1">
      <c r="A311" s="7" t="s">
        <v>49</v>
      </c>
      <c r="B311" s="7" t="s">
        <v>71</v>
      </c>
      <c r="C311" s="7" t="s">
        <v>120</v>
      </c>
      <c r="D311" s="10">
        <v>1</v>
      </c>
      <c r="E311" s="7" t="s">
        <v>34</v>
      </c>
      <c r="F311" s="10">
        <v>188</v>
      </c>
      <c r="G311" s="11">
        <v>59</v>
      </c>
      <c r="H311" s="12">
        <f>G311/((F311/100)*(F311/100))</f>
      </c>
      <c r="I311" s="11">
        <f>IF(H311&lt;25,0,IF(H311&lt;30,1,2))</f>
      </c>
      <c r="J311" s="13">
        <v>3</v>
      </c>
      <c r="K311" s="7" t="s">
        <v>86</v>
      </c>
      <c r="L311" s="7" t="s">
        <v>147</v>
      </c>
      <c r="M311" s="7" t="s">
        <v>185</v>
      </c>
      <c r="N311" s="7" t="s">
        <v>201</v>
      </c>
      <c r="O311" s="7" t="s">
        <v>74</v>
      </c>
      <c r="P311" s="15" t="s">
        <v>132</v>
      </c>
      <c r="Q311" s="10">
        <f>IF(P311="None of the above",0,2)</f>
      </c>
      <c r="R311" s="7" t="s">
        <v>89</v>
      </c>
      <c r="S311" s="15" t="s">
        <v>48</v>
      </c>
      <c r="T311" s="7" t="s">
        <v>96</v>
      </c>
      <c r="U311" s="10">
        <f>IF(T311="Heavy physical",0,IF(T311="Moderate activity",1,2))</f>
      </c>
      <c r="V311" s="5" t="s">
        <v>57</v>
      </c>
      <c r="W311" s="10">
        <f>IF(V311="7–8 hours",0,IF(V311="6–7 hours",1,2))</f>
      </c>
      <c r="X311" s="7" t="s">
        <v>83</v>
      </c>
      <c r="Y311" s="15" t="s">
        <v>75</v>
      </c>
      <c r="Z311" s="7" t="s">
        <v>45</v>
      </c>
      <c r="AA311" s="7" t="s">
        <v>42</v>
      </c>
      <c r="AB311" s="7" t="s">
        <v>48</v>
      </c>
      <c r="AC311" s="7" t="s">
        <v>42</v>
      </c>
      <c r="AD311" s="10">
        <f>I311 + Q311 + U311 + W311</f>
      </c>
      <c r="AE311" s="10">
        <f>IF(AD311&lt;=2,0,IF(AD311&lt;=5,1,2))</f>
      </c>
      <c r="AF311" s="7"/>
    </row>
    <row x14ac:dyDescent="0.25" r="312" customHeight="1" ht="17.25" hidden="1">
      <c r="A312" s="7" t="s">
        <v>31</v>
      </c>
      <c r="B312" s="7" t="s">
        <v>93</v>
      </c>
      <c r="C312" s="7" t="s">
        <v>33</v>
      </c>
      <c r="D312" s="10">
        <v>7</v>
      </c>
      <c r="E312" s="7" t="s">
        <v>51</v>
      </c>
      <c r="F312" s="10">
        <v>174</v>
      </c>
      <c r="G312" s="11">
        <v>80</v>
      </c>
      <c r="H312" s="12">
        <f>G312/((F312/100)*(F312/100))</f>
      </c>
      <c r="I312" s="11">
        <f>IF(H312&lt;25,0,IF(H312&lt;30,1,2))</f>
      </c>
      <c r="J312" s="13">
        <v>3</v>
      </c>
      <c r="K312" s="7" t="s">
        <v>105</v>
      </c>
      <c r="L312" s="7" t="s">
        <v>36</v>
      </c>
      <c r="M312" s="7" t="s">
        <v>185</v>
      </c>
      <c r="N312" s="7" t="s">
        <v>201</v>
      </c>
      <c r="O312" s="7" t="s">
        <v>80</v>
      </c>
      <c r="P312" s="15" t="s">
        <v>132</v>
      </c>
      <c r="Q312" s="10">
        <f>IF(P312="None of the above",0,2)</f>
      </c>
      <c r="R312" s="7" t="s">
        <v>89</v>
      </c>
      <c r="S312" s="7" t="s">
        <v>42</v>
      </c>
      <c r="T312" s="7" t="s">
        <v>96</v>
      </c>
      <c r="U312" s="10">
        <f>IF(T312="Heavy physical",0,IF(T312="Moderate activity",1,2))</f>
      </c>
      <c r="V312" s="5" t="s">
        <v>44</v>
      </c>
      <c r="W312" s="10">
        <f>IF(V312="7–8 hours",0,IF(V312="6–7 hours",1,2))</f>
      </c>
      <c r="X312" s="7" t="s">
        <v>102</v>
      </c>
      <c r="Y312" s="15" t="s">
        <v>64</v>
      </c>
      <c r="Z312" s="7" t="s">
        <v>65</v>
      </c>
      <c r="AA312" s="7" t="s">
        <v>42</v>
      </c>
      <c r="AB312" s="7" t="s">
        <v>42</v>
      </c>
      <c r="AC312" s="7" t="s">
        <v>42</v>
      </c>
      <c r="AD312" s="10">
        <f>I312 + Q312 + U312 + W312</f>
      </c>
      <c r="AE312" s="10">
        <f>IF(AD312&lt;=2,0,IF(AD312&lt;=5,1,2))</f>
      </c>
      <c r="AF312" s="7"/>
    </row>
    <row x14ac:dyDescent="0.25" r="313" customHeight="1" ht="17.25" hidden="1">
      <c r="A313" s="7" t="s">
        <v>49</v>
      </c>
      <c r="B313" s="7" t="s">
        <v>93</v>
      </c>
      <c r="C313" s="7" t="s">
        <v>33</v>
      </c>
      <c r="D313" s="10">
        <v>7</v>
      </c>
      <c r="E313" s="7" t="s">
        <v>51</v>
      </c>
      <c r="F313" s="10">
        <v>188</v>
      </c>
      <c r="G313" s="11">
        <v>97</v>
      </c>
      <c r="H313" s="12">
        <f>G313/((F313/100)*(F313/100))</f>
      </c>
      <c r="I313" s="11">
        <f>IF(H313&lt;25,0,IF(H313&lt;30,1,2))</f>
      </c>
      <c r="J313" s="13">
        <v>2</v>
      </c>
      <c r="K313" s="7" t="s">
        <v>72</v>
      </c>
      <c r="L313" s="7" t="s">
        <v>108</v>
      </c>
      <c r="M313" s="7" t="s">
        <v>185</v>
      </c>
      <c r="N313" s="7" t="s">
        <v>201</v>
      </c>
      <c r="O313" s="7" t="s">
        <v>39</v>
      </c>
      <c r="P313" s="15" t="s">
        <v>132</v>
      </c>
      <c r="Q313" s="10">
        <f>IF(P313="None of the above",0,2)</f>
      </c>
      <c r="R313" s="7" t="s">
        <v>89</v>
      </c>
      <c r="S313" s="15" t="s">
        <v>48</v>
      </c>
      <c r="T313" s="7" t="s">
        <v>96</v>
      </c>
      <c r="U313" s="10">
        <f>IF(T313="Heavy physical",0,IF(T313="Moderate activity",1,2))</f>
      </c>
      <c r="V313" s="5" t="s">
        <v>44</v>
      </c>
      <c r="W313" s="10">
        <f>IF(V313="7–8 hours",0,IF(V313="6–7 hours",1,2))</f>
      </c>
      <c r="X313" s="7" t="s">
        <v>70</v>
      </c>
      <c r="Y313" s="15" t="s">
        <v>75</v>
      </c>
      <c r="Z313" s="7" t="s">
        <v>45</v>
      </c>
      <c r="AA313" s="7" t="s">
        <v>42</v>
      </c>
      <c r="AB313" s="7" t="s">
        <v>42</v>
      </c>
      <c r="AC313" s="7" t="s">
        <v>42</v>
      </c>
      <c r="AD313" s="10">
        <f>I313 + Q313 + U313 + W313</f>
      </c>
      <c r="AE313" s="10">
        <f>IF(AD313&lt;=2,0,IF(AD313&lt;=5,1,2))</f>
      </c>
      <c r="AF313" s="7"/>
    </row>
    <row x14ac:dyDescent="0.25" r="314" customHeight="1" ht="17.25" hidden="1">
      <c r="A314" s="7" t="s">
        <v>31</v>
      </c>
      <c r="B314" s="7" t="s">
        <v>93</v>
      </c>
      <c r="C314" s="7" t="s">
        <v>33</v>
      </c>
      <c r="D314" s="10">
        <v>8</v>
      </c>
      <c r="E314" s="7" t="s">
        <v>51</v>
      </c>
      <c r="F314" s="10">
        <v>151</v>
      </c>
      <c r="G314" s="11">
        <v>61</v>
      </c>
      <c r="H314" s="12">
        <f>G314/((F314/100)*(F314/100))</f>
      </c>
      <c r="I314" s="11">
        <f>IF(H314&lt;25,0,IF(H314&lt;30,1,2))</f>
      </c>
      <c r="J314" s="13">
        <v>1</v>
      </c>
      <c r="K314" s="7" t="s">
        <v>52</v>
      </c>
      <c r="L314" s="7" t="s">
        <v>108</v>
      </c>
      <c r="M314" s="7" t="s">
        <v>54</v>
      </c>
      <c r="N314" s="7" t="s">
        <v>201</v>
      </c>
      <c r="O314" s="7" t="s">
        <v>39</v>
      </c>
      <c r="P314" s="7" t="s">
        <v>81</v>
      </c>
      <c r="Q314" s="10">
        <f>IF(P314="None of the above",0,2)</f>
      </c>
      <c r="R314" s="7" t="s">
        <v>89</v>
      </c>
      <c r="S314" s="7" t="s">
        <v>42</v>
      </c>
      <c r="T314" s="7" t="s">
        <v>96</v>
      </c>
      <c r="U314" s="10">
        <f>IF(T314="Heavy physical",0,IF(T314="Moderate activity",1,2))</f>
      </c>
      <c r="V314" s="5" t="s">
        <v>97</v>
      </c>
      <c r="W314" s="10">
        <f>IF(V314="7–8 hours",0,IF(V314="6–7 hours",1,2))</f>
      </c>
      <c r="X314" s="7" t="s">
        <v>102</v>
      </c>
      <c r="Y314" s="15" t="s">
        <v>75</v>
      </c>
      <c r="Z314" s="7" t="s">
        <v>92</v>
      </c>
      <c r="AA314" s="7" t="s">
        <v>42</v>
      </c>
      <c r="AB314" s="7" t="s">
        <v>42</v>
      </c>
      <c r="AC314" s="7" t="s">
        <v>42</v>
      </c>
      <c r="AD314" s="10">
        <f>I314 + Q314 + U314 + W314</f>
      </c>
      <c r="AE314" s="10">
        <f>IF(AD314&lt;=2,0,IF(AD314&lt;=5,1,2))</f>
      </c>
      <c r="AF314" s="7"/>
    </row>
    <row x14ac:dyDescent="0.25" r="315" customHeight="1" ht="17.25" hidden="1">
      <c r="A315" s="7" t="s">
        <v>49</v>
      </c>
      <c r="B315" s="7" t="s">
        <v>93</v>
      </c>
      <c r="C315" s="7" t="s">
        <v>33</v>
      </c>
      <c r="D315" s="10">
        <v>5</v>
      </c>
      <c r="E315" s="7" t="s">
        <v>51</v>
      </c>
      <c r="F315" s="10">
        <v>196</v>
      </c>
      <c r="G315" s="11">
        <v>94</v>
      </c>
      <c r="H315" s="12">
        <f>G315/((F315/100)*(F315/100))</f>
      </c>
      <c r="I315" s="11">
        <f>IF(H315&lt;25,0,IF(H315&lt;30,1,2))</f>
      </c>
      <c r="J315" s="13">
        <v>3</v>
      </c>
      <c r="K315" s="7" t="s">
        <v>35</v>
      </c>
      <c r="L315" s="7" t="s">
        <v>73</v>
      </c>
      <c r="M315" s="7" t="s">
        <v>185</v>
      </c>
      <c r="N315" s="7" t="s">
        <v>201</v>
      </c>
      <c r="O315" s="7" t="s">
        <v>80</v>
      </c>
      <c r="P315" s="7" t="s">
        <v>81</v>
      </c>
      <c r="Q315" s="10">
        <f>IF(P315="None of the above",0,2)</f>
      </c>
      <c r="R315" s="7" t="s">
        <v>89</v>
      </c>
      <c r="S315" s="15" t="s">
        <v>48</v>
      </c>
      <c r="T315" s="7" t="s">
        <v>96</v>
      </c>
      <c r="U315" s="10">
        <f>IF(T315="Heavy physical",0,IF(T315="Moderate activity",1,2))</f>
      </c>
      <c r="V315" s="5" t="s">
        <v>57</v>
      </c>
      <c r="W315" s="10">
        <f>IF(V315="7–8 hours",0,IF(V315="6–7 hours",1,2))</f>
      </c>
      <c r="X315" s="7" t="s">
        <v>102</v>
      </c>
      <c r="Y315" s="7" t="s">
        <v>58</v>
      </c>
      <c r="Z315" s="7" t="s">
        <v>92</v>
      </c>
      <c r="AA315" s="7" t="s">
        <v>42</v>
      </c>
      <c r="AB315" s="7" t="s">
        <v>42</v>
      </c>
      <c r="AC315" s="7" t="s">
        <v>42</v>
      </c>
      <c r="AD315" s="10">
        <f>I315 + Q315 + U315 + W315</f>
      </c>
      <c r="AE315" s="10">
        <f>IF(AD315&lt;=2,0,IF(AD315&lt;=5,1,2))</f>
      </c>
      <c r="AF315" s="7"/>
    </row>
    <row x14ac:dyDescent="0.25" r="316" customHeight="1" ht="17.25" hidden="1">
      <c r="A316" s="7" t="s">
        <v>49</v>
      </c>
      <c r="B316" s="7" t="s">
        <v>32</v>
      </c>
      <c r="C316" s="7" t="s">
        <v>33</v>
      </c>
      <c r="D316" s="10">
        <v>7</v>
      </c>
      <c r="E316" s="7" t="s">
        <v>34</v>
      </c>
      <c r="F316" s="10">
        <v>144</v>
      </c>
      <c r="G316" s="11">
        <v>101</v>
      </c>
      <c r="H316" s="12">
        <f>G316/((F316/100)*(F316/100))</f>
      </c>
      <c r="I316" s="11">
        <f>IF(H316&lt;25,0,IF(H316&lt;30,1,2))</f>
      </c>
      <c r="J316" s="13">
        <v>1</v>
      </c>
      <c r="K316" s="7" t="s">
        <v>105</v>
      </c>
      <c r="L316" s="7" t="s">
        <v>119</v>
      </c>
      <c r="M316" s="7" t="s">
        <v>185</v>
      </c>
      <c r="N316" s="7" t="s">
        <v>201</v>
      </c>
      <c r="O316" s="7" t="s">
        <v>74</v>
      </c>
      <c r="P316" s="7" t="s">
        <v>40</v>
      </c>
      <c r="Q316" s="10">
        <f>IF(P316="None of the above",0,2)</f>
      </c>
      <c r="R316" s="7" t="s">
        <v>89</v>
      </c>
      <c r="S316" s="7" t="s">
        <v>42</v>
      </c>
      <c r="T316" s="7" t="s">
        <v>96</v>
      </c>
      <c r="U316" s="10">
        <f>IF(T316="Heavy physical",0,IF(T316="Moderate activity",1,2))</f>
      </c>
      <c r="V316" s="5" t="s">
        <v>57</v>
      </c>
      <c r="W316" s="10">
        <f>IF(V316="7–8 hours",0,IF(V316="6–7 hours",1,2))</f>
      </c>
      <c r="X316" s="7" t="s">
        <v>70</v>
      </c>
      <c r="Y316" s="15" t="s">
        <v>64</v>
      </c>
      <c r="Z316" s="7" t="s">
        <v>65</v>
      </c>
      <c r="AA316" s="7" t="s">
        <v>48</v>
      </c>
      <c r="AB316" s="7" t="s">
        <v>42</v>
      </c>
      <c r="AC316" s="7" t="s">
        <v>42</v>
      </c>
      <c r="AD316" s="10">
        <f>I316 + Q316 + U316 + W316</f>
      </c>
      <c r="AE316" s="10">
        <f>IF(AD316&lt;=2,0,IF(AD316&lt;=5,1,2))</f>
      </c>
      <c r="AF316" s="7"/>
    </row>
    <row x14ac:dyDescent="0.25" r="317" customHeight="1" ht="17.25" hidden="1">
      <c r="A317" s="7" t="s">
        <v>76</v>
      </c>
      <c r="B317" s="7" t="s">
        <v>71</v>
      </c>
      <c r="C317" s="7" t="s">
        <v>33</v>
      </c>
      <c r="D317" s="10">
        <v>7</v>
      </c>
      <c r="E317" s="7" t="s">
        <v>51</v>
      </c>
      <c r="F317" s="10">
        <v>160</v>
      </c>
      <c r="G317" s="11">
        <v>114</v>
      </c>
      <c r="H317" s="12">
        <f>G317/((F317/100)*(F317/100))</f>
      </c>
      <c r="I317" s="11">
        <f>IF(H317&lt;25,0,IF(H317&lt;30,1,2))</f>
      </c>
      <c r="J317" s="13">
        <v>2</v>
      </c>
      <c r="K317" s="7" t="s">
        <v>86</v>
      </c>
      <c r="L317" s="7" t="s">
        <v>108</v>
      </c>
      <c r="M317" s="7" t="s">
        <v>41</v>
      </c>
      <c r="N317" s="7" t="s">
        <v>201</v>
      </c>
      <c r="O317" s="7" t="s">
        <v>63</v>
      </c>
      <c r="P317" s="7" t="s">
        <v>81</v>
      </c>
      <c r="Q317" s="10">
        <f>IF(P317="None of the above",0,2)</f>
      </c>
      <c r="R317" s="7" t="s">
        <v>89</v>
      </c>
      <c r="S317" s="15" t="s">
        <v>48</v>
      </c>
      <c r="T317" s="7" t="s">
        <v>96</v>
      </c>
      <c r="U317" s="10">
        <f>IF(T317="Heavy physical",0,IF(T317="Moderate activity",1,2))</f>
      </c>
      <c r="V317" s="5" t="s">
        <v>97</v>
      </c>
      <c r="W317" s="10">
        <f>IF(V317="7–8 hours",0,IF(V317="6–7 hours",1,2))</f>
      </c>
      <c r="X317" s="7" t="s">
        <v>70</v>
      </c>
      <c r="Y317" s="15" t="s">
        <v>64</v>
      </c>
      <c r="Z317" s="7" t="s">
        <v>92</v>
      </c>
      <c r="AA317" s="7" t="s">
        <v>42</v>
      </c>
      <c r="AB317" s="7" t="s">
        <v>42</v>
      </c>
      <c r="AC317" s="7" t="s">
        <v>42</v>
      </c>
      <c r="AD317" s="10">
        <f>I317 + Q317 + U317 + W317</f>
      </c>
      <c r="AE317" s="10">
        <f>IF(AD317&lt;=2,0,IF(AD317&lt;=5,1,2))</f>
      </c>
      <c r="AF317" s="7"/>
    </row>
    <row x14ac:dyDescent="0.25" r="318" customHeight="1" ht="17.25" hidden="1">
      <c r="A318" s="7" t="s">
        <v>49</v>
      </c>
      <c r="B318" s="7" t="s">
        <v>84</v>
      </c>
      <c r="C318" s="7" t="s">
        <v>33</v>
      </c>
      <c r="D318" s="10">
        <v>3</v>
      </c>
      <c r="E318" s="7" t="s">
        <v>34</v>
      </c>
      <c r="F318" s="10">
        <v>145</v>
      </c>
      <c r="G318" s="11">
        <v>113</v>
      </c>
      <c r="H318" s="12">
        <f>G318/((F318/100)*(F318/100))</f>
      </c>
      <c r="I318" s="11">
        <f>IF(H318&lt;25,0,IF(H318&lt;30,1,2))</f>
      </c>
      <c r="J318" s="13">
        <v>3</v>
      </c>
      <c r="K318" s="7" t="s">
        <v>86</v>
      </c>
      <c r="L318" s="7" t="s">
        <v>152</v>
      </c>
      <c r="M318" s="7" t="s">
        <v>185</v>
      </c>
      <c r="N318" s="7" t="s">
        <v>201</v>
      </c>
      <c r="O318" s="7" t="s">
        <v>80</v>
      </c>
      <c r="P318" s="7" t="s">
        <v>55</v>
      </c>
      <c r="Q318" s="10">
        <f>IF(P318="None of the above",0,2)</f>
      </c>
      <c r="R318" s="7" t="s">
        <v>89</v>
      </c>
      <c r="S318" s="7" t="s">
        <v>42</v>
      </c>
      <c r="T318" s="7" t="s">
        <v>96</v>
      </c>
      <c r="U318" s="10">
        <f>IF(T318="Heavy physical",0,IF(T318="Moderate activity",1,2))</f>
      </c>
      <c r="V318" s="5" t="s">
        <v>97</v>
      </c>
      <c r="W318" s="10">
        <f>IF(V318="7–8 hours",0,IF(V318="6–7 hours",1,2))</f>
      </c>
      <c r="X318" s="7" t="s">
        <v>70</v>
      </c>
      <c r="Y318" s="7" t="s">
        <v>58</v>
      </c>
      <c r="Z318" s="7" t="s">
        <v>45</v>
      </c>
      <c r="AA318" s="7" t="s">
        <v>48</v>
      </c>
      <c r="AB318" s="7" t="s">
        <v>48</v>
      </c>
      <c r="AC318" s="7" t="s">
        <v>48</v>
      </c>
      <c r="AD318" s="10">
        <f>I318 + Q318 + U318 + W318</f>
      </c>
      <c r="AE318" s="10">
        <f>IF(AD318&lt;=2,0,IF(AD318&lt;=5,1,2))</f>
      </c>
      <c r="AF318" s="7"/>
    </row>
    <row x14ac:dyDescent="0.25" r="319" customHeight="1" ht="17.25" hidden="1">
      <c r="A319" s="7" t="s">
        <v>49</v>
      </c>
      <c r="B319" s="7" t="s">
        <v>93</v>
      </c>
      <c r="C319" s="7" t="s">
        <v>33</v>
      </c>
      <c r="D319" s="10">
        <v>2</v>
      </c>
      <c r="E319" s="7" t="s">
        <v>34</v>
      </c>
      <c r="F319" s="10">
        <v>160</v>
      </c>
      <c r="G319" s="11">
        <v>105</v>
      </c>
      <c r="H319" s="12">
        <f>G319/((F319/100)*(F319/100))</f>
      </c>
      <c r="I319" s="11">
        <f>IF(H319&lt;25,0,IF(H319&lt;30,1,2))</f>
      </c>
      <c r="J319" s="13">
        <v>2</v>
      </c>
      <c r="K319" s="7" t="s">
        <v>105</v>
      </c>
      <c r="L319" s="7" t="s">
        <v>193</v>
      </c>
      <c r="M319" s="7" t="s">
        <v>185</v>
      </c>
      <c r="N319" s="7" t="s">
        <v>201</v>
      </c>
      <c r="O319" s="7" t="s">
        <v>80</v>
      </c>
      <c r="P319" s="7" t="s">
        <v>81</v>
      </c>
      <c r="Q319" s="10">
        <f>IF(P319="None of the above",0,2)</f>
      </c>
      <c r="R319" s="7" t="s">
        <v>89</v>
      </c>
      <c r="S319" s="7" t="s">
        <v>42</v>
      </c>
      <c r="T319" s="7" t="s">
        <v>96</v>
      </c>
      <c r="U319" s="10">
        <f>IF(T319="Heavy physical",0,IF(T319="Moderate activity",1,2))</f>
      </c>
      <c r="V319" s="5" t="s">
        <v>57</v>
      </c>
      <c r="W319" s="10">
        <f>IF(V319="7–8 hours",0,IF(V319="6–7 hours",1,2))</f>
      </c>
      <c r="X319" s="7" t="s">
        <v>70</v>
      </c>
      <c r="Y319" s="7" t="s">
        <v>58</v>
      </c>
      <c r="Z319" s="7" t="s">
        <v>45</v>
      </c>
      <c r="AA319" s="7" t="s">
        <v>42</v>
      </c>
      <c r="AB319" s="7" t="s">
        <v>48</v>
      </c>
      <c r="AC319" s="7" t="s">
        <v>48</v>
      </c>
      <c r="AD319" s="10">
        <f>I319 + Q319 + U319 + W319</f>
      </c>
      <c r="AE319" s="10">
        <f>IF(AD319&lt;=2,0,IF(AD319&lt;=5,1,2))</f>
      </c>
      <c r="AF319" s="7"/>
    </row>
    <row x14ac:dyDescent="0.25" r="320" customHeight="1" ht="17.25" hidden="1">
      <c r="A320" s="7" t="s">
        <v>31</v>
      </c>
      <c r="B320" s="7" t="s">
        <v>66</v>
      </c>
      <c r="C320" s="7" t="s">
        <v>33</v>
      </c>
      <c r="D320" s="10">
        <v>8</v>
      </c>
      <c r="E320" s="7" t="s">
        <v>51</v>
      </c>
      <c r="F320" s="10">
        <v>158</v>
      </c>
      <c r="G320" s="11">
        <v>89</v>
      </c>
      <c r="H320" s="12">
        <f>G320/((F320/100)*(F320/100))</f>
      </c>
      <c r="I320" s="11">
        <f>IF(H320&lt;25,0,IF(H320&lt;30,1,2))</f>
      </c>
      <c r="J320" s="13">
        <v>3</v>
      </c>
      <c r="K320" s="7" t="s">
        <v>61</v>
      </c>
      <c r="L320" s="7" t="s">
        <v>36</v>
      </c>
      <c r="M320" s="7" t="s">
        <v>54</v>
      </c>
      <c r="N320" s="7" t="s">
        <v>201</v>
      </c>
      <c r="O320" s="7" t="s">
        <v>68</v>
      </c>
      <c r="P320" s="7" t="s">
        <v>81</v>
      </c>
      <c r="Q320" s="10">
        <f>IF(P320="None of the above",0,2)</f>
      </c>
      <c r="R320" s="7" t="s">
        <v>89</v>
      </c>
      <c r="S320" s="7" t="s">
        <v>42</v>
      </c>
      <c r="T320" s="7" t="s">
        <v>96</v>
      </c>
      <c r="U320" s="10">
        <f>IF(T320="Heavy physical",0,IF(T320="Moderate activity",1,2))</f>
      </c>
      <c r="V320" s="5" t="s">
        <v>97</v>
      </c>
      <c r="W320" s="10">
        <f>IF(V320="7–8 hours",0,IF(V320="6–7 hours",1,2))</f>
      </c>
      <c r="X320" s="7" t="s">
        <v>45</v>
      </c>
      <c r="Y320" s="15" t="s">
        <v>64</v>
      </c>
      <c r="Z320" s="7" t="s">
        <v>45</v>
      </c>
      <c r="AA320" s="7" t="s">
        <v>42</v>
      </c>
      <c r="AB320" s="7" t="s">
        <v>42</v>
      </c>
      <c r="AC320" s="7" t="s">
        <v>42</v>
      </c>
      <c r="AD320" s="10">
        <f>I320 + Q320 + U320 + W320</f>
      </c>
      <c r="AE320" s="10">
        <f>IF(AD320&lt;=2,0,IF(AD320&lt;=5,1,2))</f>
      </c>
      <c r="AF320" s="7"/>
    </row>
    <row x14ac:dyDescent="0.25" r="321" customHeight="1" ht="17.25" hidden="1">
      <c r="A321" s="7" t="s">
        <v>76</v>
      </c>
      <c r="B321" s="7" t="s">
        <v>77</v>
      </c>
      <c r="C321" s="7" t="s">
        <v>33</v>
      </c>
      <c r="D321" s="10">
        <v>8</v>
      </c>
      <c r="E321" s="7" t="s">
        <v>34</v>
      </c>
      <c r="F321" s="10">
        <v>175</v>
      </c>
      <c r="G321" s="11">
        <v>65</v>
      </c>
      <c r="H321" s="12">
        <f>G321/((F321/100)*(F321/100))</f>
      </c>
      <c r="I321" s="11">
        <f>IF(H321&lt;25,0,IF(H321&lt;30,1,2))</f>
      </c>
      <c r="J321" s="13">
        <v>2</v>
      </c>
      <c r="K321" s="7" t="s">
        <v>35</v>
      </c>
      <c r="L321" s="7" t="s">
        <v>108</v>
      </c>
      <c r="M321" s="7" t="s">
        <v>185</v>
      </c>
      <c r="N321" s="7" t="s">
        <v>201</v>
      </c>
      <c r="O321" s="7" t="s">
        <v>80</v>
      </c>
      <c r="P321" s="7" t="s">
        <v>40</v>
      </c>
      <c r="Q321" s="10">
        <f>IF(P321="None of the above",0,2)</f>
      </c>
      <c r="R321" s="7" t="s">
        <v>89</v>
      </c>
      <c r="S321" s="7" t="s">
        <v>42</v>
      </c>
      <c r="T321" s="7" t="s">
        <v>96</v>
      </c>
      <c r="U321" s="10">
        <f>IF(T321="Heavy physical",0,IF(T321="Moderate activity",1,2))</f>
      </c>
      <c r="V321" s="5" t="s">
        <v>97</v>
      </c>
      <c r="W321" s="10">
        <f>IF(V321="7–8 hours",0,IF(V321="6–7 hours",1,2))</f>
      </c>
      <c r="X321" s="7" t="s">
        <v>102</v>
      </c>
      <c r="Y321" s="15" t="s">
        <v>64</v>
      </c>
      <c r="Z321" s="7" t="s">
        <v>45</v>
      </c>
      <c r="AA321" s="7" t="s">
        <v>48</v>
      </c>
      <c r="AB321" s="7" t="s">
        <v>42</v>
      </c>
      <c r="AC321" s="7" t="s">
        <v>48</v>
      </c>
      <c r="AD321" s="10">
        <f>I321 + Q321 + U321 + W321</f>
      </c>
      <c r="AE321" s="10">
        <f>IF(AD321&lt;=2,0,IF(AD321&lt;=5,1,2))</f>
      </c>
      <c r="AF321" s="7"/>
    </row>
    <row x14ac:dyDescent="0.25" r="322" customHeight="1" ht="17.25" hidden="1">
      <c r="A322" s="7" t="s">
        <v>76</v>
      </c>
      <c r="B322" s="7" t="s">
        <v>59</v>
      </c>
      <c r="C322" s="7" t="s">
        <v>33</v>
      </c>
      <c r="D322" s="10">
        <v>8</v>
      </c>
      <c r="E322" s="7" t="s">
        <v>34</v>
      </c>
      <c r="F322" s="10">
        <v>191</v>
      </c>
      <c r="G322" s="11">
        <v>111</v>
      </c>
      <c r="H322" s="12">
        <f>G322/((F322/100)*(F322/100))</f>
      </c>
      <c r="I322" s="11">
        <f>IF(H322&lt;25,0,IF(H322&lt;30,1,2))</f>
      </c>
      <c r="J322" s="13">
        <v>2</v>
      </c>
      <c r="K322" s="7" t="s">
        <v>52</v>
      </c>
      <c r="L322" s="7" t="s">
        <v>208</v>
      </c>
      <c r="M322" s="7" t="s">
        <v>185</v>
      </c>
      <c r="N322" s="7" t="s">
        <v>201</v>
      </c>
      <c r="O322" s="7" t="s">
        <v>74</v>
      </c>
      <c r="P322" s="7" t="s">
        <v>81</v>
      </c>
      <c r="Q322" s="10">
        <f>IF(P322="None of the above",0,2)</f>
      </c>
      <c r="R322" s="7" t="s">
        <v>89</v>
      </c>
      <c r="S322" s="7" t="s">
        <v>42</v>
      </c>
      <c r="T322" s="7" t="s">
        <v>99</v>
      </c>
      <c r="U322" s="10">
        <f>IF(T322="Heavy physical",0,IF(T322="Moderate activity",1,2))</f>
      </c>
      <c r="V322" s="5" t="s">
        <v>57</v>
      </c>
      <c r="W322" s="10">
        <f>IF(V322="7–8 hours",0,IF(V322="6–7 hours",1,2))</f>
      </c>
      <c r="X322" s="7" t="s">
        <v>70</v>
      </c>
      <c r="Y322" s="15" t="s">
        <v>64</v>
      </c>
      <c r="Z322" s="7" t="s">
        <v>47</v>
      </c>
      <c r="AA322" s="7" t="s">
        <v>42</v>
      </c>
      <c r="AB322" s="7" t="s">
        <v>48</v>
      </c>
      <c r="AC322" s="7" t="s">
        <v>42</v>
      </c>
      <c r="AD322" s="10">
        <f>I322 + Q322 + U322 + W322</f>
      </c>
      <c r="AE322" s="10">
        <f>IF(AD322&lt;=2,0,IF(AD322&lt;=5,1,2))</f>
      </c>
      <c r="AF322" s="7"/>
    </row>
    <row x14ac:dyDescent="0.25" r="323" customHeight="1" ht="17.25" hidden="1">
      <c r="A323" s="7" t="s">
        <v>76</v>
      </c>
      <c r="B323" s="7" t="s">
        <v>71</v>
      </c>
      <c r="C323" s="7" t="s">
        <v>33</v>
      </c>
      <c r="D323" s="10">
        <v>1</v>
      </c>
      <c r="E323" s="7" t="s">
        <v>34</v>
      </c>
      <c r="F323" s="10">
        <v>155</v>
      </c>
      <c r="G323" s="11">
        <v>92</v>
      </c>
      <c r="H323" s="12">
        <f>G323/((F323/100)*(F323/100))</f>
      </c>
      <c r="I323" s="11">
        <f>IF(H323&lt;25,0,IF(H323&lt;30,1,2))</f>
      </c>
      <c r="J323" s="13">
        <v>1</v>
      </c>
      <c r="K323" s="7" t="s">
        <v>61</v>
      </c>
      <c r="L323" s="7" t="s">
        <v>139</v>
      </c>
      <c r="M323" s="7" t="s">
        <v>41</v>
      </c>
      <c r="N323" s="7" t="s">
        <v>201</v>
      </c>
      <c r="O323" s="7" t="s">
        <v>80</v>
      </c>
      <c r="P323" s="7" t="s">
        <v>81</v>
      </c>
      <c r="Q323" s="10">
        <f>IF(P323="None of the above",0,2)</f>
      </c>
      <c r="R323" s="7" t="s">
        <v>56</v>
      </c>
      <c r="S323" s="7" t="s">
        <v>42</v>
      </c>
      <c r="T323" s="7" t="s">
        <v>96</v>
      </c>
      <c r="U323" s="10">
        <f>IF(T323="Heavy physical",0,IF(T323="Moderate activity",1,2))</f>
      </c>
      <c r="V323" s="5" t="s">
        <v>57</v>
      </c>
      <c r="W323" s="10">
        <f>IF(V323="7–8 hours",0,IF(V323="6–7 hours",1,2))</f>
      </c>
      <c r="X323" s="7" t="s">
        <v>45</v>
      </c>
      <c r="Y323" s="15" t="s">
        <v>64</v>
      </c>
      <c r="Z323" s="7" t="s">
        <v>45</v>
      </c>
      <c r="AA323" s="7" t="s">
        <v>48</v>
      </c>
      <c r="AB323" s="7" t="s">
        <v>48</v>
      </c>
      <c r="AC323" s="7" t="s">
        <v>48</v>
      </c>
      <c r="AD323" s="10">
        <f>I323 + Q323 + U323 + W323</f>
      </c>
      <c r="AE323" s="10">
        <f>IF(AD323&lt;=2,0,IF(AD323&lt;=5,1,2))</f>
      </c>
      <c r="AF323" s="7"/>
    </row>
    <row x14ac:dyDescent="0.25" r="324" customHeight="1" ht="17.25" hidden="1">
      <c r="A324" s="7" t="s">
        <v>31</v>
      </c>
      <c r="B324" s="7" t="s">
        <v>93</v>
      </c>
      <c r="C324" s="7" t="s">
        <v>33</v>
      </c>
      <c r="D324" s="10">
        <v>4</v>
      </c>
      <c r="E324" s="7" t="s">
        <v>34</v>
      </c>
      <c r="F324" s="10">
        <v>161</v>
      </c>
      <c r="G324" s="11">
        <v>80</v>
      </c>
      <c r="H324" s="12">
        <f>G324/((F324/100)*(F324/100))</f>
      </c>
      <c r="I324" s="11">
        <f>IF(H324&lt;25,0,IF(H324&lt;30,1,2))</f>
      </c>
      <c r="J324" s="13">
        <v>2</v>
      </c>
      <c r="K324" s="7" t="s">
        <v>86</v>
      </c>
      <c r="L324" s="7" t="s">
        <v>143</v>
      </c>
      <c r="M324" s="7" t="s">
        <v>185</v>
      </c>
      <c r="N324" s="7" t="s">
        <v>201</v>
      </c>
      <c r="O324" s="7" t="s">
        <v>68</v>
      </c>
      <c r="P324" s="7" t="s">
        <v>81</v>
      </c>
      <c r="Q324" s="10">
        <f>IF(P324="None of the above",0,2)</f>
      </c>
      <c r="R324" s="7" t="s">
        <v>56</v>
      </c>
      <c r="S324" s="15" t="s">
        <v>48</v>
      </c>
      <c r="T324" s="7" t="s">
        <v>99</v>
      </c>
      <c r="U324" s="10">
        <f>IF(T324="Heavy physical",0,IF(T324="Moderate activity",1,2))</f>
      </c>
      <c r="V324" s="5" t="s">
        <v>57</v>
      </c>
      <c r="W324" s="10">
        <f>IF(V324="7–8 hours",0,IF(V324="6–7 hours",1,2))</f>
      </c>
      <c r="X324" s="7" t="s">
        <v>70</v>
      </c>
      <c r="Y324" s="15" t="s">
        <v>75</v>
      </c>
      <c r="Z324" s="7" t="s">
        <v>92</v>
      </c>
      <c r="AA324" s="7" t="s">
        <v>48</v>
      </c>
      <c r="AB324" s="7" t="s">
        <v>48</v>
      </c>
      <c r="AC324" s="7" t="s">
        <v>42</v>
      </c>
      <c r="AD324" s="10">
        <f>I324 + Q324 + U324 + W324</f>
      </c>
      <c r="AE324" s="10">
        <f>IF(AD324&lt;=2,0,IF(AD324&lt;=5,1,2))</f>
      </c>
      <c r="AF324" s="7"/>
    </row>
    <row x14ac:dyDescent="0.25" r="325" customHeight="1" ht="17.25" hidden="1">
      <c r="A325" s="7" t="s">
        <v>188</v>
      </c>
      <c r="B325" s="7" t="s">
        <v>71</v>
      </c>
      <c r="C325" s="7" t="s">
        <v>141</v>
      </c>
      <c r="D325" s="10">
        <v>3</v>
      </c>
      <c r="E325" s="7" t="s">
        <v>34</v>
      </c>
      <c r="F325" s="10">
        <v>182</v>
      </c>
      <c r="G325" s="11">
        <v>47</v>
      </c>
      <c r="H325" s="12">
        <f>G325/((F325/100)*(F325/100))</f>
      </c>
      <c r="I325" s="11">
        <f>IF(H325&lt;25,0,IF(H325&lt;30,1,2))</f>
      </c>
      <c r="J325" s="13">
        <v>3</v>
      </c>
      <c r="K325" s="7" t="s">
        <v>61</v>
      </c>
      <c r="L325" s="7" t="s">
        <v>125</v>
      </c>
      <c r="M325" s="7" t="s">
        <v>185</v>
      </c>
      <c r="N325" s="7" t="s">
        <v>201</v>
      </c>
      <c r="O325" s="7" t="s">
        <v>68</v>
      </c>
      <c r="P325" s="7" t="s">
        <v>40</v>
      </c>
      <c r="Q325" s="10">
        <f>IF(P325="None of the above",0,2)</f>
      </c>
      <c r="R325" s="7" t="s">
        <v>56</v>
      </c>
      <c r="S325" s="15" t="s">
        <v>48</v>
      </c>
      <c r="T325" s="7" t="s">
        <v>96</v>
      </c>
      <c r="U325" s="10">
        <f>IF(T325="Heavy physical",0,IF(T325="Moderate activity",1,2))</f>
      </c>
      <c r="V325" s="5" t="s">
        <v>69</v>
      </c>
      <c r="W325" s="10">
        <f>IF(V325="7–8 hours",0,IF(V325="6–7 hours",1,2))</f>
      </c>
      <c r="X325" s="7" t="s">
        <v>83</v>
      </c>
      <c r="Y325" s="15" t="s">
        <v>64</v>
      </c>
      <c r="Z325" s="7" t="s">
        <v>65</v>
      </c>
      <c r="AA325" s="7" t="s">
        <v>48</v>
      </c>
      <c r="AB325" s="7" t="s">
        <v>48</v>
      </c>
      <c r="AC325" s="7" t="s">
        <v>42</v>
      </c>
      <c r="AD325" s="10">
        <f>I325 + Q325 + U325 + W325</f>
      </c>
      <c r="AE325" s="10">
        <f>IF(AD325&lt;=2,0,IF(AD325&lt;=5,1,2))</f>
      </c>
      <c r="AF325" s="7"/>
    </row>
    <row x14ac:dyDescent="0.25" r="326" customHeight="1" ht="17.25" hidden="1">
      <c r="A326" s="7" t="s">
        <v>31</v>
      </c>
      <c r="B326" s="7" t="s">
        <v>84</v>
      </c>
      <c r="C326" s="15" t="s">
        <v>110</v>
      </c>
      <c r="D326" s="10">
        <v>1</v>
      </c>
      <c r="E326" s="7" t="s">
        <v>34</v>
      </c>
      <c r="F326" s="10">
        <v>196</v>
      </c>
      <c r="G326" s="11">
        <v>87</v>
      </c>
      <c r="H326" s="12">
        <f>G326/((F326/100)*(F326/100))</f>
      </c>
      <c r="I326" s="11">
        <f>IF(H326&lt;25,0,IF(H326&lt;30,1,2))</f>
      </c>
      <c r="J326" s="13">
        <v>2</v>
      </c>
      <c r="K326" s="7" t="s">
        <v>35</v>
      </c>
      <c r="L326" s="7" t="s">
        <v>113</v>
      </c>
      <c r="M326" s="7" t="s">
        <v>185</v>
      </c>
      <c r="N326" s="7" t="s">
        <v>201</v>
      </c>
      <c r="O326" s="7" t="s">
        <v>80</v>
      </c>
      <c r="P326" s="7" t="s">
        <v>81</v>
      </c>
      <c r="Q326" s="10">
        <f>IF(P326="None of the above",0,2)</f>
      </c>
      <c r="R326" s="7" t="s">
        <v>56</v>
      </c>
      <c r="S326" s="15" t="s">
        <v>48</v>
      </c>
      <c r="T326" s="7" t="s">
        <v>99</v>
      </c>
      <c r="U326" s="10">
        <f>IF(T326="Heavy physical",0,IF(T326="Moderate activity",1,2))</f>
      </c>
      <c r="V326" s="5" t="s">
        <v>57</v>
      </c>
      <c r="W326" s="10">
        <f>IF(V326="7–8 hours",0,IF(V326="6–7 hours",1,2))</f>
      </c>
      <c r="X326" s="7" t="s">
        <v>102</v>
      </c>
      <c r="Y326" s="15" t="s">
        <v>75</v>
      </c>
      <c r="Z326" s="7" t="s">
        <v>45</v>
      </c>
      <c r="AA326" s="7" t="s">
        <v>42</v>
      </c>
      <c r="AB326" s="7" t="s">
        <v>42</v>
      </c>
      <c r="AC326" s="7" t="s">
        <v>48</v>
      </c>
      <c r="AD326" s="10">
        <f>I326 + Q326 + U326 + W326</f>
      </c>
      <c r="AE326" s="10">
        <f>IF(AD326&lt;=2,0,IF(AD326&lt;=5,1,2))</f>
      </c>
      <c r="AF326" s="7"/>
    </row>
    <row x14ac:dyDescent="0.25" r="327" customHeight="1" ht="17.25" hidden="1">
      <c r="A327" s="7" t="s">
        <v>49</v>
      </c>
      <c r="B327" s="7" t="s">
        <v>93</v>
      </c>
      <c r="C327" s="15" t="s">
        <v>110</v>
      </c>
      <c r="D327" s="10">
        <v>6</v>
      </c>
      <c r="E327" s="7" t="s">
        <v>34</v>
      </c>
      <c r="F327" s="10">
        <v>142</v>
      </c>
      <c r="G327" s="11">
        <v>55</v>
      </c>
      <c r="H327" s="12">
        <f>G327/((F327/100)*(F327/100))</f>
      </c>
      <c r="I327" s="11">
        <f>IF(H327&lt;25,0,IF(H327&lt;30,1,2))</f>
      </c>
      <c r="J327" s="13">
        <v>1</v>
      </c>
      <c r="K327" s="7" t="s">
        <v>35</v>
      </c>
      <c r="L327" s="7" t="s">
        <v>108</v>
      </c>
      <c r="M327" s="7" t="s">
        <v>41</v>
      </c>
      <c r="N327" s="7" t="s">
        <v>201</v>
      </c>
      <c r="O327" s="7" t="s">
        <v>74</v>
      </c>
      <c r="P327" s="7" t="s">
        <v>81</v>
      </c>
      <c r="Q327" s="10">
        <f>IF(P327="None of the above",0,2)</f>
      </c>
      <c r="R327" s="7" t="s">
        <v>56</v>
      </c>
      <c r="S327" s="7" t="s">
        <v>42</v>
      </c>
      <c r="T327" s="7" t="s">
        <v>96</v>
      </c>
      <c r="U327" s="10">
        <f>IF(T327="Heavy physical",0,IF(T327="Moderate activity",1,2))</f>
      </c>
      <c r="V327" s="5" t="s">
        <v>57</v>
      </c>
      <c r="W327" s="10">
        <f>IF(V327="7–8 hours",0,IF(V327="6–7 hours",1,2))</f>
      </c>
      <c r="X327" s="7" t="s">
        <v>83</v>
      </c>
      <c r="Y327" s="15" t="s">
        <v>64</v>
      </c>
      <c r="Z327" s="7" t="s">
        <v>45</v>
      </c>
      <c r="AA327" s="7" t="s">
        <v>42</v>
      </c>
      <c r="AB327" s="7" t="s">
        <v>42</v>
      </c>
      <c r="AC327" s="7" t="s">
        <v>42</v>
      </c>
      <c r="AD327" s="10">
        <f>I327 + Q327 + U327 + W327</f>
      </c>
      <c r="AE327" s="10">
        <f>IF(AD327&lt;=2,0,IF(AD327&lt;=5,1,2))</f>
      </c>
      <c r="AF327" s="7"/>
    </row>
    <row x14ac:dyDescent="0.25" r="328" customHeight="1" ht="17.25" hidden="1">
      <c r="A328" s="7" t="s">
        <v>31</v>
      </c>
      <c r="B328" s="7" t="s">
        <v>93</v>
      </c>
      <c r="C328" s="7" t="s">
        <v>120</v>
      </c>
      <c r="D328" s="10">
        <v>7</v>
      </c>
      <c r="E328" s="7" t="s">
        <v>34</v>
      </c>
      <c r="F328" s="10">
        <v>146</v>
      </c>
      <c r="G328" s="11">
        <v>73</v>
      </c>
      <c r="H328" s="12">
        <f>G328/((F328/100)*(F328/100))</f>
      </c>
      <c r="I328" s="11">
        <f>IF(H328&lt;25,0,IF(H328&lt;30,1,2))</f>
      </c>
      <c r="J328" s="13">
        <v>3</v>
      </c>
      <c r="K328" s="7" t="s">
        <v>61</v>
      </c>
      <c r="L328" s="7" t="s">
        <v>209</v>
      </c>
      <c r="M328" s="7" t="s">
        <v>185</v>
      </c>
      <c r="N328" s="7" t="s">
        <v>201</v>
      </c>
      <c r="O328" s="7" t="s">
        <v>74</v>
      </c>
      <c r="P328" s="7" t="s">
        <v>40</v>
      </c>
      <c r="Q328" s="10">
        <f>IF(P328="None of the above",0,2)</f>
      </c>
      <c r="R328" s="7" t="s">
        <v>56</v>
      </c>
      <c r="S328" s="15" t="s">
        <v>48</v>
      </c>
      <c r="T328" s="7" t="s">
        <v>99</v>
      </c>
      <c r="U328" s="10">
        <f>IF(T328="Heavy physical",0,IF(T328="Moderate activity",1,2))</f>
      </c>
      <c r="V328" s="5" t="s">
        <v>97</v>
      </c>
      <c r="W328" s="10">
        <f>IF(V328="7–8 hours",0,IF(V328="6–7 hours",1,2))</f>
      </c>
      <c r="X328" s="7" t="s">
        <v>70</v>
      </c>
      <c r="Y328" s="15" t="s">
        <v>64</v>
      </c>
      <c r="Z328" s="7" t="s">
        <v>47</v>
      </c>
      <c r="AA328" s="7" t="s">
        <v>48</v>
      </c>
      <c r="AB328" s="7" t="s">
        <v>48</v>
      </c>
      <c r="AC328" s="7" t="s">
        <v>42</v>
      </c>
      <c r="AD328" s="10">
        <f>I328 + Q328 + U328 + W328</f>
      </c>
      <c r="AE328" s="10">
        <f>IF(AD328&lt;=2,0,IF(AD328&lt;=5,1,2))</f>
      </c>
      <c r="AF328" s="7"/>
    </row>
    <row x14ac:dyDescent="0.25" r="329" customHeight="1" ht="17.25" hidden="1">
      <c r="A329" s="7" t="s">
        <v>49</v>
      </c>
      <c r="B329" s="7" t="s">
        <v>77</v>
      </c>
      <c r="C329" s="15" t="s">
        <v>110</v>
      </c>
      <c r="D329" s="10">
        <v>4</v>
      </c>
      <c r="E329" s="7" t="s">
        <v>34</v>
      </c>
      <c r="F329" s="10">
        <v>189</v>
      </c>
      <c r="G329" s="11">
        <v>53</v>
      </c>
      <c r="H329" s="12">
        <f>G329/((F329/100)*(F329/100))</f>
      </c>
      <c r="I329" s="11">
        <f>IF(H329&lt;25,0,IF(H329&lt;30,1,2))</f>
      </c>
      <c r="J329" s="13">
        <v>2</v>
      </c>
      <c r="K329" s="7" t="s">
        <v>61</v>
      </c>
      <c r="L329" s="7" t="s">
        <v>104</v>
      </c>
      <c r="M329" s="7" t="s">
        <v>54</v>
      </c>
      <c r="N329" s="7" t="s">
        <v>201</v>
      </c>
      <c r="O329" s="7" t="s">
        <v>68</v>
      </c>
      <c r="P329" s="7" t="s">
        <v>81</v>
      </c>
      <c r="Q329" s="10">
        <f>IF(P329="None of the above",0,2)</f>
      </c>
      <c r="R329" s="7" t="s">
        <v>56</v>
      </c>
      <c r="S329" s="7" t="s">
        <v>42</v>
      </c>
      <c r="T329" s="7" t="s">
        <v>96</v>
      </c>
      <c r="U329" s="10">
        <f>IF(T329="Heavy physical",0,IF(T329="Moderate activity",1,2))</f>
      </c>
      <c r="V329" s="5" t="s">
        <v>97</v>
      </c>
      <c r="W329" s="10">
        <f>IF(V329="7–8 hours",0,IF(V329="6–7 hours",1,2))</f>
      </c>
      <c r="X329" s="7" t="s">
        <v>102</v>
      </c>
      <c r="Y329" s="15" t="s">
        <v>75</v>
      </c>
      <c r="Z329" s="7" t="s">
        <v>45</v>
      </c>
      <c r="AA329" s="7" t="s">
        <v>42</v>
      </c>
      <c r="AB329" s="7" t="s">
        <v>42</v>
      </c>
      <c r="AC329" s="7" t="s">
        <v>42</v>
      </c>
      <c r="AD329" s="10">
        <f>I329 + Q329 + U329 + W329</f>
      </c>
      <c r="AE329" s="10">
        <f>IF(AD329&lt;=2,0,IF(AD329&lt;=5,1,2))</f>
      </c>
      <c r="AF329" s="7"/>
    </row>
    <row x14ac:dyDescent="0.25" r="330" customHeight="1" ht="17.25" hidden="1">
      <c r="A330" s="7" t="s">
        <v>76</v>
      </c>
      <c r="B330" s="7" t="s">
        <v>59</v>
      </c>
      <c r="C330" s="7" t="s">
        <v>33</v>
      </c>
      <c r="D330" s="10">
        <v>8</v>
      </c>
      <c r="E330" s="7" t="s">
        <v>34</v>
      </c>
      <c r="F330" s="10">
        <v>198</v>
      </c>
      <c r="G330" s="11">
        <v>48</v>
      </c>
      <c r="H330" s="12">
        <f>G330/((F330/100)*(F330/100))</f>
      </c>
      <c r="I330" s="11">
        <f>IF(H330&lt;25,0,IF(H330&lt;30,1,2))</f>
      </c>
      <c r="J330" s="13">
        <v>3</v>
      </c>
      <c r="K330" s="7" t="s">
        <v>86</v>
      </c>
      <c r="L330" s="7" t="s">
        <v>36</v>
      </c>
      <c r="M330" s="7" t="s">
        <v>185</v>
      </c>
      <c r="N330" s="7" t="s">
        <v>201</v>
      </c>
      <c r="O330" s="7" t="s">
        <v>63</v>
      </c>
      <c r="P330" s="7" t="s">
        <v>81</v>
      </c>
      <c r="Q330" s="10">
        <f>IF(P330="None of the above",0,2)</f>
      </c>
      <c r="R330" s="7" t="s">
        <v>56</v>
      </c>
      <c r="S330" s="15" t="s">
        <v>48</v>
      </c>
      <c r="T330" s="7" t="s">
        <v>99</v>
      </c>
      <c r="U330" s="10">
        <f>IF(T330="Heavy physical",0,IF(T330="Moderate activity",1,2))</f>
      </c>
      <c r="V330" s="5" t="s">
        <v>44</v>
      </c>
      <c r="W330" s="10">
        <f>IF(V330="7–8 hours",0,IF(V330="6–7 hours",1,2))</f>
      </c>
      <c r="X330" s="7" t="s">
        <v>45</v>
      </c>
      <c r="Y330" s="15" t="s">
        <v>75</v>
      </c>
      <c r="Z330" s="7" t="s">
        <v>92</v>
      </c>
      <c r="AA330" s="7" t="s">
        <v>48</v>
      </c>
      <c r="AB330" s="7" t="s">
        <v>42</v>
      </c>
      <c r="AC330" s="7" t="s">
        <v>48</v>
      </c>
      <c r="AD330" s="10">
        <f>I330 + Q330 + U330 + W330</f>
      </c>
      <c r="AE330" s="10">
        <f>IF(AD330&lt;=2,0,IF(AD330&lt;=5,1,2))</f>
      </c>
      <c r="AF330" s="7"/>
    </row>
    <row x14ac:dyDescent="0.25" r="331" customHeight="1" ht="17.25" hidden="1">
      <c r="A331" s="7" t="s">
        <v>49</v>
      </c>
      <c r="B331" s="7" t="s">
        <v>66</v>
      </c>
      <c r="C331" s="7" t="s">
        <v>78</v>
      </c>
      <c r="D331" s="10">
        <v>7</v>
      </c>
      <c r="E331" s="7" t="s">
        <v>51</v>
      </c>
      <c r="F331" s="10">
        <v>187</v>
      </c>
      <c r="G331" s="11">
        <v>83</v>
      </c>
      <c r="H331" s="12">
        <f>G331/((F331/100)*(F331/100))</f>
      </c>
      <c r="I331" s="11">
        <f>IF(H331&lt;25,0,IF(H331&lt;30,1,2))</f>
      </c>
      <c r="J331" s="13">
        <v>2</v>
      </c>
      <c r="K331" s="7" t="s">
        <v>52</v>
      </c>
      <c r="L331" s="7" t="s">
        <v>210</v>
      </c>
      <c r="M331" s="7" t="s">
        <v>185</v>
      </c>
      <c r="N331" s="7" t="s">
        <v>201</v>
      </c>
      <c r="O331" s="7" t="s">
        <v>80</v>
      </c>
      <c r="P331" s="15" t="s">
        <v>132</v>
      </c>
      <c r="Q331" s="10">
        <f>IF(P331="None of the above",0,2)</f>
      </c>
      <c r="R331" s="7" t="s">
        <v>56</v>
      </c>
      <c r="S331" s="7" t="s">
        <v>42</v>
      </c>
      <c r="T331" s="7" t="s">
        <v>99</v>
      </c>
      <c r="U331" s="10">
        <f>IF(T331="Heavy physical",0,IF(T331="Moderate activity",1,2))</f>
      </c>
      <c r="V331" s="5" t="s">
        <v>69</v>
      </c>
      <c r="W331" s="10">
        <f>IF(V331="7–8 hours",0,IF(V331="6–7 hours",1,2))</f>
      </c>
      <c r="X331" s="7" t="s">
        <v>83</v>
      </c>
      <c r="Y331" s="7" t="s">
        <v>58</v>
      </c>
      <c r="Z331" s="7" t="s">
        <v>92</v>
      </c>
      <c r="AA331" s="7" t="s">
        <v>42</v>
      </c>
      <c r="AB331" s="7" t="s">
        <v>42</v>
      </c>
      <c r="AC331" s="7" t="s">
        <v>42</v>
      </c>
      <c r="AD331" s="10">
        <f>I331 + Q331 + U331 + W331</f>
      </c>
      <c r="AE331" s="10">
        <f>IF(AD331&lt;=2,0,IF(AD331&lt;=5,1,2))</f>
      </c>
      <c r="AF331" s="7"/>
    </row>
    <row x14ac:dyDescent="0.25" r="332" customHeight="1" ht="17.25" hidden="1">
      <c r="A332" s="7" t="s">
        <v>76</v>
      </c>
      <c r="B332" s="7" t="s">
        <v>84</v>
      </c>
      <c r="C332" s="15" t="s">
        <v>110</v>
      </c>
      <c r="D332" s="10">
        <v>7</v>
      </c>
      <c r="E332" s="7" t="s">
        <v>34</v>
      </c>
      <c r="F332" s="10">
        <v>155</v>
      </c>
      <c r="G332" s="11">
        <v>66</v>
      </c>
      <c r="H332" s="12">
        <f>G332/((F332/100)*(F332/100))</f>
      </c>
      <c r="I332" s="11">
        <f>IF(H332&lt;25,0,IF(H332&lt;30,1,2))</f>
      </c>
      <c r="J332" s="13">
        <v>1</v>
      </c>
      <c r="K332" s="7" t="s">
        <v>105</v>
      </c>
      <c r="L332" s="7" t="s">
        <v>152</v>
      </c>
      <c r="M332" s="7" t="s">
        <v>54</v>
      </c>
      <c r="N332" s="7" t="s">
        <v>201</v>
      </c>
      <c r="O332" s="7" t="s">
        <v>74</v>
      </c>
      <c r="P332" s="7" t="s">
        <v>81</v>
      </c>
      <c r="Q332" s="10">
        <f>IF(P332="None of the above",0,2)</f>
      </c>
      <c r="R332" s="7" t="s">
        <v>56</v>
      </c>
      <c r="S332" s="15" t="s">
        <v>48</v>
      </c>
      <c r="T332" s="7" t="s">
        <v>96</v>
      </c>
      <c r="U332" s="10">
        <f>IF(T332="Heavy physical",0,IF(T332="Moderate activity",1,2))</f>
      </c>
      <c r="V332" s="5" t="s">
        <v>97</v>
      </c>
      <c r="W332" s="10">
        <f>IF(V332="7–8 hours",0,IF(V332="6–7 hours",1,2))</f>
      </c>
      <c r="X332" s="7" t="s">
        <v>83</v>
      </c>
      <c r="Y332" s="15" t="s">
        <v>75</v>
      </c>
      <c r="Z332" s="7" t="s">
        <v>47</v>
      </c>
      <c r="AA332" s="7" t="s">
        <v>48</v>
      </c>
      <c r="AB332" s="7" t="s">
        <v>48</v>
      </c>
      <c r="AC332" s="7" t="s">
        <v>42</v>
      </c>
      <c r="AD332" s="10">
        <f>I332 + Q332 + U332 + W332</f>
      </c>
      <c r="AE332" s="10">
        <f>IF(AD332&lt;=2,0,IF(AD332&lt;=5,1,2))</f>
      </c>
      <c r="AF332" s="7"/>
    </row>
    <row x14ac:dyDescent="0.25" r="333" customHeight="1" ht="17.25" hidden="1">
      <c r="A333" s="7" t="s">
        <v>76</v>
      </c>
      <c r="B333" s="7" t="s">
        <v>32</v>
      </c>
      <c r="C333" s="7" t="s">
        <v>120</v>
      </c>
      <c r="D333" s="10">
        <v>1</v>
      </c>
      <c r="E333" s="7" t="s">
        <v>34</v>
      </c>
      <c r="F333" s="10">
        <v>191</v>
      </c>
      <c r="G333" s="11">
        <v>119</v>
      </c>
      <c r="H333" s="12">
        <f>G333/((F333/100)*(F333/100))</f>
      </c>
      <c r="I333" s="11">
        <f>IF(H333&lt;25,0,IF(H333&lt;30,1,2))</f>
      </c>
      <c r="J333" s="13">
        <v>2</v>
      </c>
      <c r="K333" s="7" t="s">
        <v>52</v>
      </c>
      <c r="L333" s="7" t="s">
        <v>100</v>
      </c>
      <c r="M333" s="7" t="s">
        <v>185</v>
      </c>
      <c r="N333" s="7" t="s">
        <v>201</v>
      </c>
      <c r="O333" s="7" t="s">
        <v>74</v>
      </c>
      <c r="P333" s="7" t="s">
        <v>55</v>
      </c>
      <c r="Q333" s="10">
        <f>IF(P333="None of the above",0,2)</f>
      </c>
      <c r="R333" s="7" t="s">
        <v>56</v>
      </c>
      <c r="S333" s="15" t="s">
        <v>48</v>
      </c>
      <c r="T333" s="7" t="s">
        <v>96</v>
      </c>
      <c r="U333" s="10">
        <f>IF(T333="Heavy physical",0,IF(T333="Moderate activity",1,2))</f>
      </c>
      <c r="V333" s="5" t="s">
        <v>97</v>
      </c>
      <c r="W333" s="10">
        <f>IF(V333="7–8 hours",0,IF(V333="6–7 hours",1,2))</f>
      </c>
      <c r="X333" s="7" t="s">
        <v>102</v>
      </c>
      <c r="Y333" s="15" t="s">
        <v>64</v>
      </c>
      <c r="Z333" s="7" t="s">
        <v>92</v>
      </c>
      <c r="AA333" s="7" t="s">
        <v>42</v>
      </c>
      <c r="AB333" s="7" t="s">
        <v>42</v>
      </c>
      <c r="AC333" s="7" t="s">
        <v>48</v>
      </c>
      <c r="AD333" s="10">
        <f>I333 + Q333 + U333 + W333</f>
      </c>
      <c r="AE333" s="10">
        <f>IF(AD333&lt;=2,0,IF(AD333&lt;=5,1,2))</f>
      </c>
      <c r="AF333" s="7"/>
    </row>
    <row x14ac:dyDescent="0.25" r="334" customHeight="1" ht="17.25" hidden="1">
      <c r="A334" s="7" t="s">
        <v>76</v>
      </c>
      <c r="B334" s="7" t="s">
        <v>59</v>
      </c>
      <c r="C334" s="15" t="s">
        <v>110</v>
      </c>
      <c r="D334" s="10">
        <v>4</v>
      </c>
      <c r="E334" s="7" t="s">
        <v>51</v>
      </c>
      <c r="F334" s="10">
        <v>184</v>
      </c>
      <c r="G334" s="11">
        <v>76</v>
      </c>
      <c r="H334" s="12">
        <f>G334/((F334/100)*(F334/100))</f>
      </c>
      <c r="I334" s="11">
        <f>IF(H334&lt;25,0,IF(H334&lt;30,1,2))</f>
      </c>
      <c r="J334" s="13">
        <v>2</v>
      </c>
      <c r="K334" s="7" t="s">
        <v>35</v>
      </c>
      <c r="L334" s="7" t="s">
        <v>79</v>
      </c>
      <c r="M334" s="7" t="s">
        <v>54</v>
      </c>
      <c r="N334" s="7" t="s">
        <v>201</v>
      </c>
      <c r="O334" s="7" t="s">
        <v>74</v>
      </c>
      <c r="P334" s="7" t="s">
        <v>40</v>
      </c>
      <c r="Q334" s="10">
        <f>IF(P334="None of the above",0,2)</f>
      </c>
      <c r="R334" s="7" t="s">
        <v>56</v>
      </c>
      <c r="S334" s="15" t="s">
        <v>48</v>
      </c>
      <c r="T334" s="7" t="s">
        <v>96</v>
      </c>
      <c r="U334" s="10">
        <f>IF(T334="Heavy physical",0,IF(T334="Moderate activity",1,2))</f>
      </c>
      <c r="V334" s="5" t="s">
        <v>57</v>
      </c>
      <c r="W334" s="10">
        <f>IF(V334="7–8 hours",0,IF(V334="6–7 hours",1,2))</f>
      </c>
      <c r="X334" s="7" t="s">
        <v>102</v>
      </c>
      <c r="Y334" s="15" t="s">
        <v>75</v>
      </c>
      <c r="Z334" s="7" t="s">
        <v>47</v>
      </c>
      <c r="AA334" s="7" t="s">
        <v>42</v>
      </c>
      <c r="AB334" s="7" t="s">
        <v>42</v>
      </c>
      <c r="AC334" s="7" t="s">
        <v>42</v>
      </c>
      <c r="AD334" s="10">
        <f>I334 + Q334 + U334 + W334</f>
      </c>
      <c r="AE334" s="10">
        <f>IF(AD334&lt;=2,0,IF(AD334&lt;=5,1,2))</f>
      </c>
      <c r="AF334" s="7"/>
    </row>
    <row x14ac:dyDescent="0.25" r="335" customHeight="1" ht="17.25" hidden="1">
      <c r="A335" s="7" t="s">
        <v>76</v>
      </c>
      <c r="B335" s="7" t="s">
        <v>84</v>
      </c>
      <c r="C335" s="7" t="s">
        <v>141</v>
      </c>
      <c r="D335" s="10">
        <v>2</v>
      </c>
      <c r="E335" s="7" t="s">
        <v>34</v>
      </c>
      <c r="F335" s="10">
        <v>187</v>
      </c>
      <c r="G335" s="11">
        <v>91</v>
      </c>
      <c r="H335" s="12">
        <f>G335/((F335/100)*(F335/100))</f>
      </c>
      <c r="I335" s="11">
        <f>IF(H335&lt;25,0,IF(H335&lt;30,1,2))</f>
      </c>
      <c r="J335" s="13">
        <v>3</v>
      </c>
      <c r="K335" s="7" t="s">
        <v>86</v>
      </c>
      <c r="L335" s="7" t="s">
        <v>123</v>
      </c>
      <c r="M335" s="7" t="s">
        <v>185</v>
      </c>
      <c r="N335" s="7" t="s">
        <v>201</v>
      </c>
      <c r="O335" s="7" t="s">
        <v>74</v>
      </c>
      <c r="P335" s="7" t="s">
        <v>40</v>
      </c>
      <c r="Q335" s="10">
        <f>IF(P335="None of the above",0,2)</f>
      </c>
      <c r="R335" s="7" t="s">
        <v>56</v>
      </c>
      <c r="S335" s="15" t="s">
        <v>48</v>
      </c>
      <c r="T335" s="7" t="s">
        <v>96</v>
      </c>
      <c r="U335" s="10">
        <f>IF(T335="Heavy physical",0,IF(T335="Moderate activity",1,2))</f>
      </c>
      <c r="V335" s="5" t="s">
        <v>97</v>
      </c>
      <c r="W335" s="10">
        <f>IF(V335="7–8 hours",0,IF(V335="6–7 hours",1,2))</f>
      </c>
      <c r="X335" s="7" t="s">
        <v>102</v>
      </c>
      <c r="Y335" s="15" t="s">
        <v>64</v>
      </c>
      <c r="Z335" s="7" t="s">
        <v>47</v>
      </c>
      <c r="AA335" s="7" t="s">
        <v>42</v>
      </c>
      <c r="AB335" s="7" t="s">
        <v>42</v>
      </c>
      <c r="AC335" s="7" t="s">
        <v>42</v>
      </c>
      <c r="AD335" s="10">
        <f>I335 + Q335 + U335 + W335</f>
      </c>
      <c r="AE335" s="10">
        <f>IF(AD335&lt;=2,0,IF(AD335&lt;=5,1,2))</f>
      </c>
      <c r="AF335" s="7"/>
    </row>
    <row x14ac:dyDescent="0.25" r="336" customHeight="1" ht="17.25" hidden="1">
      <c r="A336" s="7" t="s">
        <v>49</v>
      </c>
      <c r="B336" s="7" t="s">
        <v>77</v>
      </c>
      <c r="C336" s="7" t="s">
        <v>33</v>
      </c>
      <c r="D336" s="10">
        <v>1</v>
      </c>
      <c r="E336" s="7" t="s">
        <v>34</v>
      </c>
      <c r="F336" s="10">
        <v>157</v>
      </c>
      <c r="G336" s="11">
        <v>85</v>
      </c>
      <c r="H336" s="12">
        <f>G336/((F336/100)*(F336/100))</f>
      </c>
      <c r="I336" s="11">
        <f>IF(H336&lt;25,0,IF(H336&lt;30,1,2))</f>
      </c>
      <c r="J336" s="13">
        <v>3</v>
      </c>
      <c r="K336" s="7" t="s">
        <v>52</v>
      </c>
      <c r="L336" s="7" t="s">
        <v>85</v>
      </c>
      <c r="M336" s="7" t="s">
        <v>185</v>
      </c>
      <c r="N336" s="7" t="s">
        <v>201</v>
      </c>
      <c r="O336" s="7" t="s">
        <v>63</v>
      </c>
      <c r="P336" s="7" t="s">
        <v>40</v>
      </c>
      <c r="Q336" s="10">
        <f>IF(P336="None of the above",0,2)</f>
      </c>
      <c r="R336" s="7" t="s">
        <v>56</v>
      </c>
      <c r="S336" s="7" t="s">
        <v>42</v>
      </c>
      <c r="T336" s="7" t="s">
        <v>96</v>
      </c>
      <c r="U336" s="10">
        <f>IF(T336="Heavy physical",0,IF(T336="Moderate activity",1,2))</f>
      </c>
      <c r="V336" s="5" t="s">
        <v>57</v>
      </c>
      <c r="W336" s="10">
        <f>IF(V336="7–8 hours",0,IF(V336="6–7 hours",1,2))</f>
      </c>
      <c r="X336" s="7" t="s">
        <v>102</v>
      </c>
      <c r="Y336" s="15" t="s">
        <v>75</v>
      </c>
      <c r="Z336" s="7" t="s">
        <v>47</v>
      </c>
      <c r="AA336" s="7" t="s">
        <v>42</v>
      </c>
      <c r="AB336" s="7" t="s">
        <v>48</v>
      </c>
      <c r="AC336" s="7" t="s">
        <v>48</v>
      </c>
      <c r="AD336" s="10">
        <f>I336 + Q336 + U336 + W336</f>
      </c>
      <c r="AE336" s="10">
        <f>IF(AD336&lt;=2,0,IF(AD336&lt;=5,1,2))</f>
      </c>
      <c r="AF336" s="7"/>
    </row>
    <row x14ac:dyDescent="0.25" r="337" customHeight="1" ht="17.25" hidden="1">
      <c r="A337" s="7" t="s">
        <v>31</v>
      </c>
      <c r="B337" s="7" t="s">
        <v>32</v>
      </c>
      <c r="C337" s="7" t="s">
        <v>141</v>
      </c>
      <c r="D337" s="10">
        <v>8</v>
      </c>
      <c r="E337" s="7" t="s">
        <v>51</v>
      </c>
      <c r="F337" s="10">
        <v>178</v>
      </c>
      <c r="G337" s="11">
        <v>82</v>
      </c>
      <c r="H337" s="12">
        <f>G337/((F337/100)*(F337/100))</f>
      </c>
      <c r="I337" s="11">
        <f>IF(H337&lt;25,0,IF(H337&lt;30,1,2))</f>
      </c>
      <c r="J337" s="13">
        <v>2</v>
      </c>
      <c r="K337" s="7" t="s">
        <v>52</v>
      </c>
      <c r="L337" s="7" t="s">
        <v>94</v>
      </c>
      <c r="M337" s="7" t="s">
        <v>185</v>
      </c>
      <c r="N337" s="7" t="s">
        <v>201</v>
      </c>
      <c r="O337" s="7" t="s">
        <v>80</v>
      </c>
      <c r="P337" s="7" t="s">
        <v>40</v>
      </c>
      <c r="Q337" s="10">
        <f>IF(P337="None of the above",0,2)</f>
      </c>
      <c r="R337" s="7" t="s">
        <v>56</v>
      </c>
      <c r="S337" s="15" t="s">
        <v>48</v>
      </c>
      <c r="T337" s="7" t="s">
        <v>96</v>
      </c>
      <c r="U337" s="10">
        <f>IF(T337="Heavy physical",0,IF(T337="Moderate activity",1,2))</f>
      </c>
      <c r="V337" s="5" t="s">
        <v>69</v>
      </c>
      <c r="W337" s="10">
        <f>IF(V337="7–8 hours",0,IF(V337="6–7 hours",1,2))</f>
      </c>
      <c r="X337" s="7" t="s">
        <v>102</v>
      </c>
      <c r="Y337" s="15" t="s">
        <v>75</v>
      </c>
      <c r="Z337" s="7" t="s">
        <v>45</v>
      </c>
      <c r="AA337" s="7" t="s">
        <v>42</v>
      </c>
      <c r="AB337" s="7" t="s">
        <v>42</v>
      </c>
      <c r="AC337" s="7" t="s">
        <v>42</v>
      </c>
      <c r="AD337" s="10">
        <f>I337 + Q337 + U337 + W337</f>
      </c>
      <c r="AE337" s="10">
        <f>IF(AD337&lt;=2,0,IF(AD337&lt;=5,1,2))</f>
      </c>
      <c r="AF337" s="7"/>
    </row>
    <row x14ac:dyDescent="0.25" r="338" customHeight="1" ht="17.25" hidden="1">
      <c r="A338" s="7" t="s">
        <v>49</v>
      </c>
      <c r="B338" s="7" t="s">
        <v>93</v>
      </c>
      <c r="C338" s="15" t="s">
        <v>110</v>
      </c>
      <c r="D338" s="10">
        <v>6</v>
      </c>
      <c r="E338" s="7" t="s">
        <v>51</v>
      </c>
      <c r="F338" s="10">
        <v>198</v>
      </c>
      <c r="G338" s="11">
        <v>111</v>
      </c>
      <c r="H338" s="12">
        <f>G338/((F338/100)*(F338/100))</f>
      </c>
      <c r="I338" s="11">
        <f>IF(H338&lt;25,0,IF(H338&lt;30,1,2))</f>
      </c>
      <c r="J338" s="13">
        <v>3</v>
      </c>
      <c r="K338" s="7" t="s">
        <v>105</v>
      </c>
      <c r="L338" s="7" t="s">
        <v>36</v>
      </c>
      <c r="M338" s="7" t="s">
        <v>54</v>
      </c>
      <c r="N338" s="7" t="s">
        <v>201</v>
      </c>
      <c r="O338" s="7" t="s">
        <v>74</v>
      </c>
      <c r="P338" s="7" t="s">
        <v>55</v>
      </c>
      <c r="Q338" s="10">
        <f>IF(P338="None of the above",0,2)</f>
      </c>
      <c r="R338" s="7" t="s">
        <v>56</v>
      </c>
      <c r="S338" s="7" t="s">
        <v>42</v>
      </c>
      <c r="T338" s="7" t="s">
        <v>96</v>
      </c>
      <c r="U338" s="10">
        <f>IF(T338="Heavy physical",0,IF(T338="Moderate activity",1,2))</f>
      </c>
      <c r="V338" s="5" t="s">
        <v>44</v>
      </c>
      <c r="W338" s="10">
        <f>IF(V338="7–8 hours",0,IF(V338="6–7 hours",1,2))</f>
      </c>
      <c r="X338" s="7" t="s">
        <v>102</v>
      </c>
      <c r="Y338" s="15" t="s">
        <v>64</v>
      </c>
      <c r="Z338" s="7" t="s">
        <v>65</v>
      </c>
      <c r="AA338" s="7" t="s">
        <v>42</v>
      </c>
      <c r="AB338" s="7" t="s">
        <v>42</v>
      </c>
      <c r="AC338" s="7" t="s">
        <v>42</v>
      </c>
      <c r="AD338" s="10">
        <f>I338 + Q338 + U338 + W338</f>
      </c>
      <c r="AE338" s="10">
        <f>IF(AD338&lt;=2,0,IF(AD338&lt;=5,1,2))</f>
      </c>
      <c r="AF338" s="7"/>
    </row>
    <row x14ac:dyDescent="0.25" r="339" customHeight="1" ht="17.25" hidden="1">
      <c r="A339" s="7" t="s">
        <v>49</v>
      </c>
      <c r="B339" s="7" t="s">
        <v>93</v>
      </c>
      <c r="C339" s="15" t="s">
        <v>110</v>
      </c>
      <c r="D339" s="10">
        <v>4</v>
      </c>
      <c r="E339" s="7" t="s">
        <v>34</v>
      </c>
      <c r="F339" s="10">
        <v>160</v>
      </c>
      <c r="G339" s="11">
        <v>87</v>
      </c>
      <c r="H339" s="12">
        <f>G339/((F339/100)*(F339/100))</f>
      </c>
      <c r="I339" s="11">
        <f>IF(H339&lt;25,0,IF(H339&lt;30,1,2))</f>
      </c>
      <c r="J339" s="13">
        <v>2</v>
      </c>
      <c r="K339" s="7" t="s">
        <v>105</v>
      </c>
      <c r="L339" s="7" t="s">
        <v>139</v>
      </c>
      <c r="M339" s="7" t="s">
        <v>41</v>
      </c>
      <c r="N339" s="7" t="s">
        <v>201</v>
      </c>
      <c r="O339" s="7" t="s">
        <v>74</v>
      </c>
      <c r="P339" s="7" t="s">
        <v>40</v>
      </c>
      <c r="Q339" s="10">
        <f>IF(P339="None of the above",0,2)</f>
      </c>
      <c r="R339" s="7" t="s">
        <v>56</v>
      </c>
      <c r="S339" s="7" t="s">
        <v>42</v>
      </c>
      <c r="T339" s="7" t="s">
        <v>99</v>
      </c>
      <c r="U339" s="10">
        <f>IF(T339="Heavy physical",0,IF(T339="Moderate activity",1,2))</f>
      </c>
      <c r="V339" s="5" t="s">
        <v>97</v>
      </c>
      <c r="W339" s="10">
        <f>IF(V339="7–8 hours",0,IF(V339="6–7 hours",1,2))</f>
      </c>
      <c r="X339" s="7" t="s">
        <v>102</v>
      </c>
      <c r="Y339" s="15" t="s">
        <v>75</v>
      </c>
      <c r="Z339" s="7" t="s">
        <v>92</v>
      </c>
      <c r="AA339" s="7" t="s">
        <v>42</v>
      </c>
      <c r="AB339" s="7" t="s">
        <v>48</v>
      </c>
      <c r="AC339" s="7" t="s">
        <v>48</v>
      </c>
      <c r="AD339" s="10">
        <f>I339 + Q339 + U339 + W339</f>
      </c>
      <c r="AE339" s="10">
        <f>IF(AD339&lt;=2,0,IF(AD339&lt;=5,1,2))</f>
      </c>
      <c r="AF339" s="7"/>
    </row>
    <row x14ac:dyDescent="0.25" r="340" customHeight="1" ht="17.25" hidden="1">
      <c r="A340" s="7" t="s">
        <v>76</v>
      </c>
      <c r="B340" s="7" t="s">
        <v>84</v>
      </c>
      <c r="C340" s="7" t="s">
        <v>141</v>
      </c>
      <c r="D340" s="10">
        <v>6</v>
      </c>
      <c r="E340" s="7" t="s">
        <v>34</v>
      </c>
      <c r="F340" s="10">
        <v>170</v>
      </c>
      <c r="G340" s="11">
        <v>64</v>
      </c>
      <c r="H340" s="12">
        <f>G340/((F340/100)*(F340/100))</f>
      </c>
      <c r="I340" s="11">
        <f>IF(H340&lt;25,0,IF(H340&lt;30,1,2))</f>
      </c>
      <c r="J340" s="13">
        <v>3</v>
      </c>
      <c r="K340" s="7" t="s">
        <v>72</v>
      </c>
      <c r="L340" s="7" t="s">
        <v>145</v>
      </c>
      <c r="M340" s="7" t="s">
        <v>54</v>
      </c>
      <c r="N340" s="7" t="s">
        <v>201</v>
      </c>
      <c r="O340" s="7" t="s">
        <v>68</v>
      </c>
      <c r="P340" s="7" t="s">
        <v>55</v>
      </c>
      <c r="Q340" s="10">
        <f>IF(P340="None of the above",0,2)</f>
      </c>
      <c r="R340" s="7" t="s">
        <v>56</v>
      </c>
      <c r="S340" s="7" t="s">
        <v>42</v>
      </c>
      <c r="T340" s="7" t="s">
        <v>96</v>
      </c>
      <c r="U340" s="10">
        <f>IF(T340="Heavy physical",0,IF(T340="Moderate activity",1,2))</f>
      </c>
      <c r="V340" s="5" t="s">
        <v>57</v>
      </c>
      <c r="W340" s="10">
        <f>IF(V340="7–8 hours",0,IF(V340="6–7 hours",1,2))</f>
      </c>
      <c r="X340" s="7" t="s">
        <v>45</v>
      </c>
      <c r="Y340" s="15" t="s">
        <v>75</v>
      </c>
      <c r="Z340" s="7" t="s">
        <v>65</v>
      </c>
      <c r="AA340" s="7" t="s">
        <v>42</v>
      </c>
      <c r="AB340" s="7" t="s">
        <v>48</v>
      </c>
      <c r="AC340" s="7" t="s">
        <v>48</v>
      </c>
      <c r="AD340" s="10">
        <f>I340 + Q340 + U340 + W340</f>
      </c>
      <c r="AE340" s="10">
        <f>IF(AD340&lt;=2,0,IF(AD340&lt;=5,1,2))</f>
      </c>
      <c r="AF340" s="7"/>
    </row>
    <row x14ac:dyDescent="0.25" r="341" customHeight="1" ht="17.25" hidden="1">
      <c r="A341" s="7" t="s">
        <v>76</v>
      </c>
      <c r="B341" s="7" t="s">
        <v>59</v>
      </c>
      <c r="C341" s="7" t="s">
        <v>33</v>
      </c>
      <c r="D341" s="10">
        <v>3</v>
      </c>
      <c r="E341" s="7" t="s">
        <v>51</v>
      </c>
      <c r="F341" s="10">
        <v>197</v>
      </c>
      <c r="G341" s="11">
        <v>57</v>
      </c>
      <c r="H341" s="12">
        <f>G341/((F341/100)*(F341/100))</f>
      </c>
      <c r="I341" s="11">
        <f>IF(H341&lt;25,0,IF(H341&lt;30,1,2))</f>
      </c>
      <c r="J341" s="13">
        <v>3</v>
      </c>
      <c r="K341" s="7" t="s">
        <v>61</v>
      </c>
      <c r="L341" s="7" t="s">
        <v>36</v>
      </c>
      <c r="M341" s="7" t="s">
        <v>185</v>
      </c>
      <c r="N341" s="7" t="s">
        <v>201</v>
      </c>
      <c r="O341" s="7" t="s">
        <v>39</v>
      </c>
      <c r="P341" s="7" t="s">
        <v>40</v>
      </c>
      <c r="Q341" s="10">
        <f>IF(P341="None of the above",0,2)</f>
      </c>
      <c r="R341" s="7" t="s">
        <v>56</v>
      </c>
      <c r="S341" s="7" t="s">
        <v>42</v>
      </c>
      <c r="T341" s="7" t="s">
        <v>96</v>
      </c>
      <c r="U341" s="10">
        <f>IF(T341="Heavy physical",0,IF(T341="Moderate activity",1,2))</f>
      </c>
      <c r="V341" s="5" t="s">
        <v>97</v>
      </c>
      <c r="W341" s="10">
        <f>IF(V341="7–8 hours",0,IF(V341="6–7 hours",1,2))</f>
      </c>
      <c r="X341" s="7" t="s">
        <v>45</v>
      </c>
      <c r="Y341" s="15" t="s">
        <v>64</v>
      </c>
      <c r="Z341" s="7" t="s">
        <v>92</v>
      </c>
      <c r="AA341" s="7" t="s">
        <v>42</v>
      </c>
      <c r="AB341" s="7" t="s">
        <v>42</v>
      </c>
      <c r="AC341" s="7" t="s">
        <v>42</v>
      </c>
      <c r="AD341" s="10">
        <f>I341 + Q341 + U341 + W341</f>
      </c>
      <c r="AE341" s="10">
        <f>IF(AD341&lt;=2,0,IF(AD341&lt;=5,1,2))</f>
      </c>
      <c r="AF341" s="7"/>
    </row>
    <row x14ac:dyDescent="0.25" r="342" customHeight="1" ht="17.25" hidden="1">
      <c r="A342" s="7" t="s">
        <v>31</v>
      </c>
      <c r="B342" s="7" t="s">
        <v>59</v>
      </c>
      <c r="C342" s="15" t="s">
        <v>110</v>
      </c>
      <c r="D342" s="10">
        <v>3</v>
      </c>
      <c r="E342" s="7" t="s">
        <v>34</v>
      </c>
      <c r="F342" s="10">
        <v>162</v>
      </c>
      <c r="G342" s="11">
        <v>61</v>
      </c>
      <c r="H342" s="12">
        <f>G342/((F342/100)*(F342/100))</f>
      </c>
      <c r="I342" s="11">
        <f>IF(H342&lt;25,0,IF(H342&lt;30,1,2))</f>
      </c>
      <c r="J342" s="13">
        <v>3</v>
      </c>
      <c r="K342" s="7" t="s">
        <v>61</v>
      </c>
      <c r="L342" s="7" t="s">
        <v>152</v>
      </c>
      <c r="M342" s="7" t="s">
        <v>54</v>
      </c>
      <c r="N342" s="7" t="s">
        <v>201</v>
      </c>
      <c r="O342" s="7" t="s">
        <v>80</v>
      </c>
      <c r="P342" s="7" t="s">
        <v>40</v>
      </c>
      <c r="Q342" s="10">
        <f>IF(P342="None of the above",0,2)</f>
      </c>
      <c r="R342" s="7" t="s">
        <v>56</v>
      </c>
      <c r="S342" s="7" t="s">
        <v>42</v>
      </c>
      <c r="T342" s="7" t="s">
        <v>96</v>
      </c>
      <c r="U342" s="10">
        <f>IF(T342="Heavy physical",0,IF(T342="Moderate activity",1,2))</f>
      </c>
      <c r="V342" s="5" t="s">
        <v>69</v>
      </c>
      <c r="W342" s="10">
        <f>IF(V342="7–8 hours",0,IF(V342="6–7 hours",1,2))</f>
      </c>
      <c r="X342" s="7" t="s">
        <v>70</v>
      </c>
      <c r="Y342" s="15" t="s">
        <v>75</v>
      </c>
      <c r="Z342" s="7" t="s">
        <v>47</v>
      </c>
      <c r="AA342" s="7" t="s">
        <v>48</v>
      </c>
      <c r="AB342" s="7" t="s">
        <v>48</v>
      </c>
      <c r="AC342" s="7" t="s">
        <v>48</v>
      </c>
      <c r="AD342" s="10">
        <f>I342 + Q342 + U342 + W342</f>
      </c>
      <c r="AE342" s="10">
        <f>IF(AD342&lt;=2,0,IF(AD342&lt;=5,1,2))</f>
      </c>
      <c r="AF342" s="7"/>
    </row>
    <row x14ac:dyDescent="0.25" r="343" customHeight="1" ht="17.25" hidden="1">
      <c r="A343" s="7" t="s">
        <v>76</v>
      </c>
      <c r="B343" s="7" t="s">
        <v>93</v>
      </c>
      <c r="C343" s="7" t="s">
        <v>33</v>
      </c>
      <c r="D343" s="10">
        <v>8</v>
      </c>
      <c r="E343" s="7" t="s">
        <v>51</v>
      </c>
      <c r="F343" s="10">
        <v>149</v>
      </c>
      <c r="G343" s="11">
        <v>116</v>
      </c>
      <c r="H343" s="12">
        <f>G343/((F343/100)*(F343/100))</f>
      </c>
      <c r="I343" s="11">
        <f>IF(H343&lt;25,0,IF(H343&lt;30,1,2))</f>
      </c>
      <c r="J343" s="13">
        <v>2</v>
      </c>
      <c r="K343" s="7" t="s">
        <v>52</v>
      </c>
      <c r="L343" s="7" t="s">
        <v>200</v>
      </c>
      <c r="M343" s="7" t="s">
        <v>54</v>
      </c>
      <c r="N343" s="7" t="s">
        <v>201</v>
      </c>
      <c r="O343" s="7" t="s">
        <v>63</v>
      </c>
      <c r="P343" s="7" t="s">
        <v>55</v>
      </c>
      <c r="Q343" s="10">
        <f>IF(P343="None of the above",0,2)</f>
      </c>
      <c r="R343" s="7" t="s">
        <v>56</v>
      </c>
      <c r="S343" s="7" t="s">
        <v>42</v>
      </c>
      <c r="T343" s="7" t="s">
        <v>99</v>
      </c>
      <c r="U343" s="10">
        <f>IF(T343="Heavy physical",0,IF(T343="Moderate activity",1,2))</f>
      </c>
      <c r="V343" s="5" t="s">
        <v>57</v>
      </c>
      <c r="W343" s="10">
        <f>IF(V343="7–8 hours",0,IF(V343="6–7 hours",1,2))</f>
      </c>
      <c r="X343" s="7" t="s">
        <v>45</v>
      </c>
      <c r="Y343" s="15" t="s">
        <v>64</v>
      </c>
      <c r="Z343" s="7" t="s">
        <v>45</v>
      </c>
      <c r="AA343" s="7" t="s">
        <v>42</v>
      </c>
      <c r="AB343" s="7" t="s">
        <v>42</v>
      </c>
      <c r="AC343" s="7" t="s">
        <v>42</v>
      </c>
      <c r="AD343" s="10">
        <f>I343 + Q343 + U343 + W343</f>
      </c>
      <c r="AE343" s="10">
        <f>IF(AD343&lt;=2,0,IF(AD343&lt;=5,1,2))</f>
      </c>
      <c r="AF343" s="7"/>
    </row>
    <row x14ac:dyDescent="0.25" r="344" customHeight="1" ht="17.25" hidden="1">
      <c r="A344" s="7" t="s">
        <v>31</v>
      </c>
      <c r="B344" s="7" t="s">
        <v>32</v>
      </c>
      <c r="C344" s="7" t="s">
        <v>120</v>
      </c>
      <c r="D344" s="10">
        <v>3</v>
      </c>
      <c r="E344" s="7" t="s">
        <v>34</v>
      </c>
      <c r="F344" s="10">
        <v>183</v>
      </c>
      <c r="G344" s="11">
        <v>97</v>
      </c>
      <c r="H344" s="12">
        <f>G344/((F344/100)*(F344/100))</f>
      </c>
      <c r="I344" s="11">
        <f>IF(H344&lt;25,0,IF(H344&lt;30,1,2))</f>
      </c>
      <c r="J344" s="13">
        <v>3</v>
      </c>
      <c r="K344" s="7" t="s">
        <v>86</v>
      </c>
      <c r="L344" s="7" t="s">
        <v>211</v>
      </c>
      <c r="M344" s="7" t="s">
        <v>185</v>
      </c>
      <c r="N344" s="7" t="s">
        <v>201</v>
      </c>
      <c r="O344" s="7" t="s">
        <v>63</v>
      </c>
      <c r="P344" s="7" t="s">
        <v>55</v>
      </c>
      <c r="Q344" s="10">
        <f>IF(P344="None of the above",0,2)</f>
      </c>
      <c r="R344" s="7" t="s">
        <v>56</v>
      </c>
      <c r="S344" s="7" t="s">
        <v>42</v>
      </c>
      <c r="T344" s="7" t="s">
        <v>99</v>
      </c>
      <c r="U344" s="10">
        <f>IF(T344="Heavy physical",0,IF(T344="Moderate activity",1,2))</f>
      </c>
      <c r="V344" s="5" t="s">
        <v>57</v>
      </c>
      <c r="W344" s="10">
        <f>IF(V344="7–8 hours",0,IF(V344="6–7 hours",1,2))</f>
      </c>
      <c r="X344" s="7" t="s">
        <v>45</v>
      </c>
      <c r="Y344" s="7" t="s">
        <v>58</v>
      </c>
      <c r="Z344" s="7" t="s">
        <v>92</v>
      </c>
      <c r="AA344" s="7" t="s">
        <v>42</v>
      </c>
      <c r="AB344" s="7" t="s">
        <v>42</v>
      </c>
      <c r="AC344" s="7" t="s">
        <v>42</v>
      </c>
      <c r="AD344" s="10">
        <f>I344 + Q344 + U344 + W344</f>
      </c>
      <c r="AE344" s="10">
        <f>IF(AD344&lt;=2,0,IF(AD344&lt;=5,1,2))</f>
      </c>
      <c r="AF344" s="7"/>
    </row>
    <row x14ac:dyDescent="0.25" r="345" customHeight="1" ht="17.25" hidden="1">
      <c r="A345" s="7" t="s">
        <v>49</v>
      </c>
      <c r="B345" s="7" t="s">
        <v>77</v>
      </c>
      <c r="C345" s="15" t="s">
        <v>110</v>
      </c>
      <c r="D345" s="10">
        <v>5</v>
      </c>
      <c r="E345" s="7" t="s">
        <v>34</v>
      </c>
      <c r="F345" s="10">
        <v>197</v>
      </c>
      <c r="G345" s="11">
        <v>87</v>
      </c>
      <c r="H345" s="12">
        <f>G345/((F345/100)*(F345/100))</f>
      </c>
      <c r="I345" s="11">
        <f>IF(H345&lt;25,0,IF(H345&lt;30,1,2))</f>
      </c>
      <c r="J345" s="13">
        <v>3</v>
      </c>
      <c r="K345" s="7" t="s">
        <v>86</v>
      </c>
      <c r="L345" s="7" t="s">
        <v>168</v>
      </c>
      <c r="M345" s="7" t="s">
        <v>41</v>
      </c>
      <c r="N345" s="7" t="s">
        <v>201</v>
      </c>
      <c r="O345" s="7" t="s">
        <v>68</v>
      </c>
      <c r="P345" s="7" t="s">
        <v>40</v>
      </c>
      <c r="Q345" s="10">
        <f>IF(P345="None of the above",0,2)</f>
      </c>
      <c r="R345" s="7" t="s">
        <v>56</v>
      </c>
      <c r="S345" s="7" t="s">
        <v>42</v>
      </c>
      <c r="T345" s="7" t="s">
        <v>96</v>
      </c>
      <c r="U345" s="10">
        <f>IF(T345="Heavy physical",0,IF(T345="Moderate activity",1,2))</f>
      </c>
      <c r="V345" s="5" t="s">
        <v>69</v>
      </c>
      <c r="W345" s="10">
        <f>IF(V345="7–8 hours",0,IF(V345="6–7 hours",1,2))</f>
      </c>
      <c r="X345" s="7" t="s">
        <v>102</v>
      </c>
      <c r="Y345" s="15" t="s">
        <v>64</v>
      </c>
      <c r="Z345" s="7" t="s">
        <v>47</v>
      </c>
      <c r="AA345" s="7" t="s">
        <v>42</v>
      </c>
      <c r="AB345" s="7" t="s">
        <v>48</v>
      </c>
      <c r="AC345" s="7" t="s">
        <v>48</v>
      </c>
      <c r="AD345" s="10">
        <f>I345 + Q345 + U345 + W345</f>
      </c>
      <c r="AE345" s="10">
        <f>IF(AD345&lt;=2,0,IF(AD345&lt;=5,1,2))</f>
      </c>
      <c r="AF345" s="7"/>
    </row>
    <row x14ac:dyDescent="0.25" r="346" customHeight="1" ht="17.25" hidden="1">
      <c r="A346" s="7" t="s">
        <v>31</v>
      </c>
      <c r="B346" s="7" t="s">
        <v>77</v>
      </c>
      <c r="C346" s="7" t="s">
        <v>141</v>
      </c>
      <c r="D346" s="10">
        <v>4</v>
      </c>
      <c r="E346" s="7" t="s">
        <v>51</v>
      </c>
      <c r="F346" s="10">
        <v>180</v>
      </c>
      <c r="G346" s="11">
        <v>48</v>
      </c>
      <c r="H346" s="12">
        <f>G346/((F346/100)*(F346/100))</f>
      </c>
      <c r="I346" s="11">
        <f>IF(H346&lt;25,0,IF(H346&lt;30,1,2))</f>
      </c>
      <c r="J346" s="13">
        <v>1</v>
      </c>
      <c r="K346" s="7" t="s">
        <v>61</v>
      </c>
      <c r="L346" s="7" t="s">
        <v>108</v>
      </c>
      <c r="M346" s="7" t="s">
        <v>54</v>
      </c>
      <c r="N346" s="7" t="s">
        <v>201</v>
      </c>
      <c r="O346" s="7" t="s">
        <v>80</v>
      </c>
      <c r="P346" s="7" t="s">
        <v>55</v>
      </c>
      <c r="Q346" s="10">
        <f>IF(P346="None of the above",0,2)</f>
      </c>
      <c r="R346" s="7" t="s">
        <v>56</v>
      </c>
      <c r="S346" s="7" t="s">
        <v>42</v>
      </c>
      <c r="T346" s="7" t="s">
        <v>96</v>
      </c>
      <c r="U346" s="10">
        <f>IF(T346="Heavy physical",0,IF(T346="Moderate activity",1,2))</f>
      </c>
      <c r="V346" s="5" t="s">
        <v>44</v>
      </c>
      <c r="W346" s="10">
        <f>IF(V346="7–8 hours",0,IF(V346="6–7 hours",1,2))</f>
      </c>
      <c r="X346" s="7" t="s">
        <v>83</v>
      </c>
      <c r="Y346" s="15" t="s">
        <v>64</v>
      </c>
      <c r="Z346" s="7" t="s">
        <v>45</v>
      </c>
      <c r="AA346" s="7" t="s">
        <v>42</v>
      </c>
      <c r="AB346" s="7" t="s">
        <v>42</v>
      </c>
      <c r="AC346" s="7" t="s">
        <v>42</v>
      </c>
      <c r="AD346" s="10">
        <f>I346 + Q346 + U346 + W346</f>
      </c>
      <c r="AE346" s="10">
        <f>IF(AD346&lt;=2,0,IF(AD346&lt;=5,1,2))</f>
      </c>
      <c r="AF346" s="7"/>
    </row>
    <row x14ac:dyDescent="0.25" r="347" customHeight="1" ht="17.25" hidden="1">
      <c r="A347" s="7" t="s">
        <v>49</v>
      </c>
      <c r="B347" s="7" t="s">
        <v>32</v>
      </c>
      <c r="C347" s="7" t="s">
        <v>33</v>
      </c>
      <c r="D347" s="10">
        <v>5</v>
      </c>
      <c r="E347" s="7" t="s">
        <v>34</v>
      </c>
      <c r="F347" s="10">
        <v>169</v>
      </c>
      <c r="G347" s="11">
        <v>88</v>
      </c>
      <c r="H347" s="12">
        <f>G347/((F347/100)*(F347/100))</f>
      </c>
      <c r="I347" s="11">
        <f>IF(H347&lt;25,0,IF(H347&lt;30,1,2))</f>
      </c>
      <c r="J347" s="13">
        <v>3</v>
      </c>
      <c r="K347" s="7" t="s">
        <v>52</v>
      </c>
      <c r="L347" s="7" t="s">
        <v>152</v>
      </c>
      <c r="M347" s="7" t="s">
        <v>185</v>
      </c>
      <c r="N347" s="7" t="s">
        <v>201</v>
      </c>
      <c r="O347" s="7" t="s">
        <v>80</v>
      </c>
      <c r="P347" s="15" t="s">
        <v>132</v>
      </c>
      <c r="Q347" s="10">
        <f>IF(P347="None of the above",0,2)</f>
      </c>
      <c r="R347" s="7" t="s">
        <v>56</v>
      </c>
      <c r="S347" s="7" t="s">
        <v>42</v>
      </c>
      <c r="T347" s="7" t="s">
        <v>99</v>
      </c>
      <c r="U347" s="10">
        <f>IF(T347="Heavy physical",0,IF(T347="Moderate activity",1,2))</f>
      </c>
      <c r="V347" s="5" t="s">
        <v>57</v>
      </c>
      <c r="W347" s="10">
        <f>IF(V347="7–8 hours",0,IF(V347="6–7 hours",1,2))</f>
      </c>
      <c r="X347" s="7" t="s">
        <v>45</v>
      </c>
      <c r="Y347" s="15" t="s">
        <v>64</v>
      </c>
      <c r="Z347" s="7" t="s">
        <v>45</v>
      </c>
      <c r="AA347" s="7" t="s">
        <v>42</v>
      </c>
      <c r="AB347" s="7" t="s">
        <v>48</v>
      </c>
      <c r="AC347" s="7" t="s">
        <v>48</v>
      </c>
      <c r="AD347" s="10">
        <f>I347 + Q347 + U347 + W347</f>
      </c>
      <c r="AE347" s="10">
        <f>IF(AD347&lt;=2,0,IF(AD347&lt;=5,1,2))</f>
      </c>
      <c r="AF347" s="7"/>
    </row>
    <row x14ac:dyDescent="0.25" r="348" customHeight="1" ht="17.25" hidden="1">
      <c r="A348" s="7" t="s">
        <v>76</v>
      </c>
      <c r="B348" s="7" t="s">
        <v>32</v>
      </c>
      <c r="C348" s="7" t="s">
        <v>120</v>
      </c>
      <c r="D348" s="10">
        <v>2</v>
      </c>
      <c r="E348" s="7" t="s">
        <v>34</v>
      </c>
      <c r="F348" s="10">
        <v>161</v>
      </c>
      <c r="G348" s="11">
        <v>105</v>
      </c>
      <c r="H348" s="12">
        <f>G348/((F348/100)*(F348/100))</f>
      </c>
      <c r="I348" s="11">
        <f>IF(H348&lt;25,0,IF(H348&lt;30,1,2))</f>
      </c>
      <c r="J348" s="13">
        <v>3</v>
      </c>
      <c r="K348" s="7" t="s">
        <v>61</v>
      </c>
      <c r="L348" s="7" t="s">
        <v>113</v>
      </c>
      <c r="M348" s="7" t="s">
        <v>54</v>
      </c>
      <c r="N348" s="7" t="s">
        <v>201</v>
      </c>
      <c r="O348" s="7" t="s">
        <v>80</v>
      </c>
      <c r="P348" s="7" t="s">
        <v>40</v>
      </c>
      <c r="Q348" s="10">
        <f>IF(P348="None of the above",0,2)</f>
      </c>
      <c r="R348" s="7" t="s">
        <v>56</v>
      </c>
      <c r="S348" s="7" t="s">
        <v>42</v>
      </c>
      <c r="T348" s="7" t="s">
        <v>96</v>
      </c>
      <c r="U348" s="10">
        <f>IF(T348="Heavy physical",0,IF(T348="Moderate activity",1,2))</f>
      </c>
      <c r="V348" s="5" t="s">
        <v>57</v>
      </c>
      <c r="W348" s="10">
        <f>IF(V348="7–8 hours",0,IF(V348="6–7 hours",1,2))</f>
      </c>
      <c r="X348" s="7" t="s">
        <v>70</v>
      </c>
      <c r="Y348" s="15" t="s">
        <v>64</v>
      </c>
      <c r="Z348" s="7" t="s">
        <v>65</v>
      </c>
      <c r="AA348" s="7" t="s">
        <v>48</v>
      </c>
      <c r="AB348" s="7" t="s">
        <v>48</v>
      </c>
      <c r="AC348" s="7" t="s">
        <v>42</v>
      </c>
      <c r="AD348" s="10">
        <f>I348 + Q348 + U348 + W348</f>
      </c>
      <c r="AE348" s="10">
        <f>IF(AD348&lt;=2,0,IF(AD348&lt;=5,1,2))</f>
      </c>
      <c r="AF348" s="7"/>
    </row>
    <row x14ac:dyDescent="0.25" r="349" customHeight="1" ht="17.25" hidden="1">
      <c r="A349" s="7" t="s">
        <v>49</v>
      </c>
      <c r="B349" s="7" t="s">
        <v>77</v>
      </c>
      <c r="C349" s="7" t="s">
        <v>78</v>
      </c>
      <c r="D349" s="10">
        <v>6</v>
      </c>
      <c r="E349" s="7" t="s">
        <v>51</v>
      </c>
      <c r="F349" s="10">
        <v>148</v>
      </c>
      <c r="G349" s="11">
        <v>117</v>
      </c>
      <c r="H349" s="12">
        <f>G349/((F349/100)*(F349/100))</f>
      </c>
      <c r="I349" s="11">
        <f>IF(H349&lt;25,0,IF(H349&lt;30,1,2))</f>
      </c>
      <c r="J349" s="13">
        <v>1</v>
      </c>
      <c r="K349" s="7" t="s">
        <v>105</v>
      </c>
      <c r="L349" s="7" t="s">
        <v>212</v>
      </c>
      <c r="M349" s="7" t="s">
        <v>185</v>
      </c>
      <c r="N349" s="7" t="s">
        <v>38</v>
      </c>
      <c r="O349" s="7" t="s">
        <v>68</v>
      </c>
      <c r="P349" s="7" t="s">
        <v>55</v>
      </c>
      <c r="Q349" s="10">
        <f>IF(P349="None of the above",0,2)</f>
      </c>
      <c r="R349" s="7" t="s">
        <v>56</v>
      </c>
      <c r="S349" s="7" t="s">
        <v>42</v>
      </c>
      <c r="T349" s="7" t="s">
        <v>96</v>
      </c>
      <c r="U349" s="10">
        <f>IF(T349="Heavy physical",0,IF(T349="Moderate activity",1,2))</f>
      </c>
      <c r="V349" s="5" t="s">
        <v>97</v>
      </c>
      <c r="W349" s="10">
        <f>IF(V349="7–8 hours",0,IF(V349="6–7 hours",1,2))</f>
      </c>
      <c r="X349" s="7" t="s">
        <v>83</v>
      </c>
      <c r="Y349" s="15" t="s">
        <v>75</v>
      </c>
      <c r="Z349" s="7" t="s">
        <v>92</v>
      </c>
      <c r="AA349" s="7" t="s">
        <v>42</v>
      </c>
      <c r="AB349" s="7" t="s">
        <v>42</v>
      </c>
      <c r="AC349" s="7" t="s">
        <v>42</v>
      </c>
      <c r="AD349" s="10">
        <f>I349 + Q349 + U349 + W349</f>
      </c>
      <c r="AE349" s="10">
        <f>IF(AD349&lt;=2,0,IF(AD349&lt;=5,1,2))</f>
      </c>
      <c r="AF349" s="7"/>
    </row>
    <row x14ac:dyDescent="0.25" r="350" customHeight="1" ht="17.25" hidden="1">
      <c r="A350" s="7" t="s">
        <v>149</v>
      </c>
      <c r="B350" s="7" t="s">
        <v>71</v>
      </c>
      <c r="C350" s="7" t="s">
        <v>33</v>
      </c>
      <c r="D350" s="10">
        <v>7</v>
      </c>
      <c r="E350" s="7" t="s">
        <v>51</v>
      </c>
      <c r="F350" s="10">
        <v>171</v>
      </c>
      <c r="G350" s="11">
        <v>95</v>
      </c>
      <c r="H350" s="12">
        <f>G350/((F350/100)*(F350/100))</f>
      </c>
      <c r="I350" s="11">
        <f>IF(H350&lt;25,0,IF(H350&lt;30,1,2))</f>
      </c>
      <c r="J350" s="13">
        <v>2</v>
      </c>
      <c r="K350" s="7" t="s">
        <v>105</v>
      </c>
      <c r="L350" s="7" t="s">
        <v>108</v>
      </c>
      <c r="M350" s="7" t="s">
        <v>185</v>
      </c>
      <c r="N350" s="7" t="s">
        <v>38</v>
      </c>
      <c r="O350" s="7" t="s">
        <v>68</v>
      </c>
      <c r="P350" s="7" t="s">
        <v>55</v>
      </c>
      <c r="Q350" s="10">
        <f>IF(P350="None of the above",0,2)</f>
      </c>
      <c r="R350" s="7" t="s">
        <v>56</v>
      </c>
      <c r="S350" s="7" t="s">
        <v>42</v>
      </c>
      <c r="T350" s="7" t="s">
        <v>96</v>
      </c>
      <c r="U350" s="10">
        <f>IF(T350="Heavy physical",0,IF(T350="Moderate activity",1,2))</f>
      </c>
      <c r="V350" s="5" t="s">
        <v>97</v>
      </c>
      <c r="W350" s="10">
        <f>IF(V350="7–8 hours",0,IF(V350="6–7 hours",1,2))</f>
      </c>
      <c r="X350" s="7" t="s">
        <v>102</v>
      </c>
      <c r="Y350" s="15" t="s">
        <v>64</v>
      </c>
      <c r="Z350" s="7" t="s">
        <v>92</v>
      </c>
      <c r="AA350" s="7" t="s">
        <v>42</v>
      </c>
      <c r="AB350" s="7" t="s">
        <v>42</v>
      </c>
      <c r="AC350" s="7" t="s">
        <v>42</v>
      </c>
      <c r="AD350" s="10">
        <f>I350 + Q350 + U350 + W350</f>
      </c>
      <c r="AE350" s="10">
        <f>IF(AD350&lt;=2,0,IF(AD350&lt;=5,1,2))</f>
      </c>
      <c r="AF350" s="7"/>
    </row>
    <row x14ac:dyDescent="0.25" r="351" customHeight="1" ht="17.25" hidden="1">
      <c r="A351" s="7" t="s">
        <v>49</v>
      </c>
      <c r="B351" s="7" t="s">
        <v>77</v>
      </c>
      <c r="C351" s="7" t="s">
        <v>110</v>
      </c>
      <c r="D351" s="10">
        <v>4</v>
      </c>
      <c r="E351" s="7" t="s">
        <v>51</v>
      </c>
      <c r="F351" s="10">
        <v>147</v>
      </c>
      <c r="G351" s="11">
        <v>96</v>
      </c>
      <c r="H351" s="12">
        <f>G351/((F351/100)*(F351/100))</f>
      </c>
      <c r="I351" s="11">
        <f>IF(H351&lt;25,0,IF(H351&lt;30,1,2))</f>
      </c>
      <c r="J351" s="13">
        <v>1</v>
      </c>
      <c r="K351" s="7" t="s">
        <v>52</v>
      </c>
      <c r="L351" s="7" t="s">
        <v>213</v>
      </c>
      <c r="M351" s="7" t="s">
        <v>41</v>
      </c>
      <c r="N351" s="7" t="s">
        <v>38</v>
      </c>
      <c r="O351" s="7" t="s">
        <v>68</v>
      </c>
      <c r="P351" s="7" t="s">
        <v>40</v>
      </c>
      <c r="Q351" s="10">
        <f>IF(P351="None of the above",0,2)</f>
      </c>
      <c r="R351" s="7" t="s">
        <v>56</v>
      </c>
      <c r="S351" s="15" t="s">
        <v>48</v>
      </c>
      <c r="T351" s="7" t="s">
        <v>96</v>
      </c>
      <c r="U351" s="10">
        <f>IF(T351="Heavy physical",0,IF(T351="Moderate activity",1,2))</f>
      </c>
      <c r="V351" s="5" t="s">
        <v>97</v>
      </c>
      <c r="W351" s="10">
        <f>IF(V351="7–8 hours",0,IF(V351="6–7 hours",1,2))</f>
      </c>
      <c r="X351" s="7" t="s">
        <v>102</v>
      </c>
      <c r="Y351" s="15" t="s">
        <v>64</v>
      </c>
      <c r="Z351" s="7" t="s">
        <v>65</v>
      </c>
      <c r="AA351" s="7" t="s">
        <v>42</v>
      </c>
      <c r="AB351" s="7" t="s">
        <v>42</v>
      </c>
      <c r="AC351" s="7" t="s">
        <v>42</v>
      </c>
      <c r="AD351" s="10">
        <f>I351 + Q351 + U351 + W351</f>
      </c>
      <c r="AE351" s="10">
        <f>IF(AD351&lt;=2,0,IF(AD351&lt;=5,1,2))</f>
      </c>
      <c r="AF351" s="7"/>
    </row>
    <row x14ac:dyDescent="0.25" r="352" customHeight="1" ht="17.25" hidden="1">
      <c r="A352" s="7" t="s">
        <v>31</v>
      </c>
      <c r="B352" s="7" t="s">
        <v>32</v>
      </c>
      <c r="C352" s="7" t="s">
        <v>141</v>
      </c>
      <c r="D352" s="10">
        <v>8</v>
      </c>
      <c r="E352" s="7" t="s">
        <v>51</v>
      </c>
      <c r="F352" s="10">
        <v>142</v>
      </c>
      <c r="G352" s="11">
        <v>71</v>
      </c>
      <c r="H352" s="12">
        <f>G352/((F352/100)*(F352/100))</f>
      </c>
      <c r="I352" s="11">
        <f>IF(H352&lt;25,0,IF(H352&lt;30,1,2))</f>
      </c>
      <c r="J352" s="13">
        <v>3</v>
      </c>
      <c r="K352" s="7" t="s">
        <v>52</v>
      </c>
      <c r="L352" s="7" t="s">
        <v>121</v>
      </c>
      <c r="M352" s="7" t="s">
        <v>185</v>
      </c>
      <c r="N352" s="7" t="s">
        <v>38</v>
      </c>
      <c r="O352" s="7" t="s">
        <v>68</v>
      </c>
      <c r="P352" s="7" t="s">
        <v>55</v>
      </c>
      <c r="Q352" s="10">
        <f>IF(P352="None of the above",0,2)</f>
      </c>
      <c r="R352" s="7" t="s">
        <v>56</v>
      </c>
      <c r="S352" s="15" t="s">
        <v>48</v>
      </c>
      <c r="T352" s="7" t="s">
        <v>96</v>
      </c>
      <c r="U352" s="10">
        <f>IF(T352="Heavy physical",0,IF(T352="Moderate activity",1,2))</f>
      </c>
      <c r="V352" s="5" t="s">
        <v>97</v>
      </c>
      <c r="W352" s="10">
        <f>IF(V352="7–8 hours",0,IF(V352="6–7 hours",1,2))</f>
      </c>
      <c r="X352" s="7" t="s">
        <v>70</v>
      </c>
      <c r="Y352" s="7" t="s">
        <v>58</v>
      </c>
      <c r="Z352" s="7" t="s">
        <v>92</v>
      </c>
      <c r="AA352" s="7" t="s">
        <v>42</v>
      </c>
      <c r="AB352" s="7" t="s">
        <v>42</v>
      </c>
      <c r="AC352" s="7" t="s">
        <v>42</v>
      </c>
      <c r="AD352" s="10">
        <f>I352 + Q352 + U352 + W352</f>
      </c>
      <c r="AE352" s="10">
        <f>IF(AD352&lt;=2,0,IF(AD352&lt;=5,1,2))</f>
      </c>
      <c r="AF352" s="7"/>
    </row>
    <row x14ac:dyDescent="0.25" r="353" customHeight="1" ht="17.25" hidden="1">
      <c r="A353" s="7" t="s">
        <v>49</v>
      </c>
      <c r="B353" s="7" t="s">
        <v>77</v>
      </c>
      <c r="C353" s="15" t="s">
        <v>110</v>
      </c>
      <c r="D353" s="10">
        <v>2</v>
      </c>
      <c r="E353" s="7" t="s">
        <v>51</v>
      </c>
      <c r="F353" s="10">
        <v>185</v>
      </c>
      <c r="G353" s="11">
        <v>106</v>
      </c>
      <c r="H353" s="12">
        <f>G353/((F353/100)*(F353/100))</f>
      </c>
      <c r="I353" s="11">
        <f>IF(H353&lt;25,0,IF(H353&lt;30,1,2))</f>
      </c>
      <c r="J353" s="13">
        <v>2</v>
      </c>
      <c r="K353" s="7" t="s">
        <v>52</v>
      </c>
      <c r="L353" s="7" t="s">
        <v>147</v>
      </c>
      <c r="M353" s="7" t="s">
        <v>41</v>
      </c>
      <c r="N353" s="7" t="s">
        <v>38</v>
      </c>
      <c r="O353" s="7" t="s">
        <v>80</v>
      </c>
      <c r="P353" s="7" t="s">
        <v>55</v>
      </c>
      <c r="Q353" s="10">
        <f>IF(P353="None of the above",0,2)</f>
      </c>
      <c r="R353" s="7" t="s">
        <v>56</v>
      </c>
      <c r="S353" s="15" t="s">
        <v>48</v>
      </c>
      <c r="T353" s="7" t="s">
        <v>96</v>
      </c>
      <c r="U353" s="10">
        <f>IF(T353="Heavy physical",0,IF(T353="Moderate activity",1,2))</f>
      </c>
      <c r="V353" s="5" t="s">
        <v>97</v>
      </c>
      <c r="W353" s="10">
        <f>IF(V353="7–8 hours",0,IF(V353="6–7 hours",1,2))</f>
      </c>
      <c r="X353" s="7" t="s">
        <v>70</v>
      </c>
      <c r="Y353" s="15" t="s">
        <v>64</v>
      </c>
      <c r="Z353" s="7" t="s">
        <v>45</v>
      </c>
      <c r="AA353" s="7" t="s">
        <v>42</v>
      </c>
      <c r="AB353" s="7" t="s">
        <v>42</v>
      </c>
      <c r="AC353" s="7" t="s">
        <v>42</v>
      </c>
      <c r="AD353" s="10">
        <f>I353 + Q353 + U353 + W353</f>
      </c>
      <c r="AE353" s="10">
        <f>IF(AD353&lt;=2,0,IF(AD353&lt;=5,1,2))</f>
      </c>
      <c r="AF353" s="7"/>
    </row>
    <row x14ac:dyDescent="0.25" r="354" customHeight="1" ht="17.25" hidden="1">
      <c r="A354" s="7" t="s">
        <v>192</v>
      </c>
      <c r="B354" s="7" t="s">
        <v>71</v>
      </c>
      <c r="C354" s="7" t="s">
        <v>33</v>
      </c>
      <c r="D354" s="10">
        <v>5</v>
      </c>
      <c r="E354" s="7" t="s">
        <v>51</v>
      </c>
      <c r="F354" s="10">
        <v>182</v>
      </c>
      <c r="G354" s="11">
        <v>51</v>
      </c>
      <c r="H354" s="12">
        <f>G354/((F354/100)*(F354/100))</f>
      </c>
      <c r="I354" s="11">
        <f>IF(H354&lt;25,0,IF(H354&lt;30,1,2))</f>
      </c>
      <c r="J354" s="13">
        <v>1</v>
      </c>
      <c r="K354" s="7" t="s">
        <v>105</v>
      </c>
      <c r="L354" s="7" t="s">
        <v>214</v>
      </c>
      <c r="M354" s="7" t="s">
        <v>54</v>
      </c>
      <c r="N354" s="7" t="s">
        <v>38</v>
      </c>
      <c r="O354" s="7" t="s">
        <v>74</v>
      </c>
      <c r="P354" s="7" t="s">
        <v>40</v>
      </c>
      <c r="Q354" s="10">
        <f>IF(P354="None of the above",0,2)</f>
      </c>
      <c r="R354" s="7" t="s">
        <v>56</v>
      </c>
      <c r="S354" s="15" t="s">
        <v>48</v>
      </c>
      <c r="T354" s="7" t="s">
        <v>96</v>
      </c>
      <c r="U354" s="10">
        <f>IF(T354="Heavy physical",0,IF(T354="Moderate activity",1,2))</f>
      </c>
      <c r="V354" s="5" t="s">
        <v>97</v>
      </c>
      <c r="W354" s="10">
        <f>IF(V354="7–8 hours",0,IF(V354="6–7 hours",1,2))</f>
      </c>
      <c r="X354" s="7" t="s">
        <v>45</v>
      </c>
      <c r="Y354" s="15" t="s">
        <v>64</v>
      </c>
      <c r="Z354" s="7" t="s">
        <v>65</v>
      </c>
      <c r="AA354" s="7" t="s">
        <v>42</v>
      </c>
      <c r="AB354" s="7" t="s">
        <v>42</v>
      </c>
      <c r="AC354" s="7" t="s">
        <v>42</v>
      </c>
      <c r="AD354" s="10">
        <f>I354 + Q354 + U354 + W354</f>
      </c>
      <c r="AE354" s="10">
        <f>IF(AD354&lt;=2,0,IF(AD354&lt;=5,1,2))</f>
      </c>
      <c r="AF354" s="7"/>
    </row>
    <row x14ac:dyDescent="0.25" r="355" customHeight="1" ht="17.25" hidden="1">
      <c r="A355" s="7" t="s">
        <v>31</v>
      </c>
      <c r="B355" s="7" t="s">
        <v>32</v>
      </c>
      <c r="C355" s="7" t="s">
        <v>141</v>
      </c>
      <c r="D355" s="10">
        <v>4</v>
      </c>
      <c r="E355" s="7" t="s">
        <v>34</v>
      </c>
      <c r="F355" s="10">
        <v>175</v>
      </c>
      <c r="G355" s="11">
        <v>61</v>
      </c>
      <c r="H355" s="12">
        <f>G355/((F355/100)*(F355/100))</f>
      </c>
      <c r="I355" s="11">
        <f>IF(H355&lt;25,0,IF(H355&lt;30,1,2))</f>
      </c>
      <c r="J355" s="13">
        <v>2</v>
      </c>
      <c r="K355" s="7" t="s">
        <v>35</v>
      </c>
      <c r="L355" s="7" t="s">
        <v>172</v>
      </c>
      <c r="M355" s="7" t="s">
        <v>185</v>
      </c>
      <c r="N355" s="7" t="s">
        <v>38</v>
      </c>
      <c r="O355" s="7" t="s">
        <v>80</v>
      </c>
      <c r="P355" s="7" t="s">
        <v>55</v>
      </c>
      <c r="Q355" s="10">
        <f>IF(P355="None of the above",0,2)</f>
      </c>
      <c r="R355" s="7" t="s">
        <v>56</v>
      </c>
      <c r="S355" s="15" t="s">
        <v>48</v>
      </c>
      <c r="T355" s="7" t="s">
        <v>96</v>
      </c>
      <c r="U355" s="10">
        <f>IF(T355="Heavy physical",0,IF(T355="Moderate activity",1,2))</f>
      </c>
      <c r="V355" s="5" t="s">
        <v>57</v>
      </c>
      <c r="W355" s="10">
        <f>IF(V355="7–8 hours",0,IF(V355="6–7 hours",1,2))</f>
      </c>
      <c r="X355" s="7" t="s">
        <v>102</v>
      </c>
      <c r="Y355" s="15" t="s">
        <v>64</v>
      </c>
      <c r="Z355" s="7" t="s">
        <v>47</v>
      </c>
      <c r="AA355" s="7" t="s">
        <v>48</v>
      </c>
      <c r="AB355" s="7" t="s">
        <v>48</v>
      </c>
      <c r="AC355" s="7" t="s">
        <v>42</v>
      </c>
      <c r="AD355" s="10">
        <f>I355 + Q355 + U355 + W355</f>
      </c>
      <c r="AE355" s="10">
        <f>IF(AD355&lt;=2,0,IF(AD355&lt;=5,1,2))</f>
      </c>
      <c r="AF355" s="7"/>
    </row>
    <row x14ac:dyDescent="0.25" r="356" customHeight="1" ht="17.25" hidden="1">
      <c r="A356" s="7" t="s">
        <v>31</v>
      </c>
      <c r="B356" s="7" t="s">
        <v>32</v>
      </c>
      <c r="C356" s="7" t="s">
        <v>120</v>
      </c>
      <c r="D356" s="10">
        <v>3</v>
      </c>
      <c r="E356" s="7" t="s">
        <v>34</v>
      </c>
      <c r="F356" s="10">
        <v>171</v>
      </c>
      <c r="G356" s="11">
        <v>69</v>
      </c>
      <c r="H356" s="12">
        <f>G356/((F356/100)*(F356/100))</f>
      </c>
      <c r="I356" s="11">
        <f>IF(H356&lt;25,0,IF(H356&lt;30,1,2))</f>
      </c>
      <c r="J356" s="13">
        <v>3</v>
      </c>
      <c r="K356" s="7" t="s">
        <v>35</v>
      </c>
      <c r="L356" s="7" t="s">
        <v>208</v>
      </c>
      <c r="M356" s="7" t="s">
        <v>185</v>
      </c>
      <c r="N356" s="7" t="s">
        <v>38</v>
      </c>
      <c r="O356" s="7" t="s">
        <v>63</v>
      </c>
      <c r="P356" s="7" t="s">
        <v>55</v>
      </c>
      <c r="Q356" s="10">
        <f>IF(P356="None of the above",0,2)</f>
      </c>
      <c r="R356" s="7" t="s">
        <v>56</v>
      </c>
      <c r="S356" s="15" t="s">
        <v>48</v>
      </c>
      <c r="T356" s="7" t="s">
        <v>96</v>
      </c>
      <c r="U356" s="10">
        <f>IF(T356="Heavy physical",0,IF(T356="Moderate activity",1,2))</f>
      </c>
      <c r="V356" s="5" t="s">
        <v>97</v>
      </c>
      <c r="W356" s="10">
        <f>IF(V356="7–8 hours",0,IF(V356="6–7 hours",1,2))</f>
      </c>
      <c r="X356" s="7" t="s">
        <v>83</v>
      </c>
      <c r="Y356" s="7" t="s">
        <v>58</v>
      </c>
      <c r="Z356" s="7" t="s">
        <v>45</v>
      </c>
      <c r="AA356" s="7" t="s">
        <v>42</v>
      </c>
      <c r="AB356" s="7" t="s">
        <v>48</v>
      </c>
      <c r="AC356" s="7" t="s">
        <v>48</v>
      </c>
      <c r="AD356" s="10">
        <f>I356 + Q356 + U356 + W356</f>
      </c>
      <c r="AE356" s="10">
        <f>IF(AD356&lt;=2,0,IF(AD356&lt;=5,1,2))</f>
      </c>
      <c r="AF356" s="7"/>
    </row>
    <row x14ac:dyDescent="0.25" r="357" customHeight="1" ht="17.25" hidden="1">
      <c r="A357" s="7" t="s">
        <v>76</v>
      </c>
      <c r="B357" s="7" t="s">
        <v>93</v>
      </c>
      <c r="C357" s="15" t="s">
        <v>110</v>
      </c>
      <c r="D357" s="10">
        <v>3</v>
      </c>
      <c r="E357" s="7" t="s">
        <v>51</v>
      </c>
      <c r="F357" s="10">
        <v>190</v>
      </c>
      <c r="G357" s="11">
        <v>63</v>
      </c>
      <c r="H357" s="12">
        <f>G357/((F357/100)*(F357/100))</f>
      </c>
      <c r="I357" s="11">
        <f>IF(H357&lt;25,0,IF(H357&lt;30,1,2))</f>
      </c>
      <c r="J357" s="13">
        <v>1</v>
      </c>
      <c r="K357" s="7" t="s">
        <v>61</v>
      </c>
      <c r="L357" s="7" t="s">
        <v>129</v>
      </c>
      <c r="M357" s="7" t="s">
        <v>185</v>
      </c>
      <c r="N357" s="7" t="s">
        <v>38</v>
      </c>
      <c r="O357" s="7" t="s">
        <v>68</v>
      </c>
      <c r="P357" s="7" t="s">
        <v>40</v>
      </c>
      <c r="Q357" s="10">
        <f>IF(P357="None of the above",0,2)</f>
      </c>
      <c r="R357" s="7" t="s">
        <v>56</v>
      </c>
      <c r="S357" s="15" t="s">
        <v>48</v>
      </c>
      <c r="T357" s="7" t="s">
        <v>96</v>
      </c>
      <c r="U357" s="10">
        <f>IF(T357="Heavy physical",0,IF(T357="Moderate activity",1,2))</f>
      </c>
      <c r="V357" s="5" t="s">
        <v>97</v>
      </c>
      <c r="W357" s="10">
        <f>IF(V357="7–8 hours",0,IF(V357="6–7 hours",1,2))</f>
      </c>
      <c r="X357" s="7" t="s">
        <v>70</v>
      </c>
      <c r="Y357" s="15" t="s">
        <v>64</v>
      </c>
      <c r="Z357" s="7" t="s">
        <v>65</v>
      </c>
      <c r="AA357" s="7" t="s">
        <v>42</v>
      </c>
      <c r="AB357" s="7" t="s">
        <v>42</v>
      </c>
      <c r="AC357" s="7" t="s">
        <v>42</v>
      </c>
      <c r="AD357" s="10">
        <f>I357 + Q357 + U357 + W357</f>
      </c>
      <c r="AE357" s="10">
        <f>IF(AD357&lt;=2,0,IF(AD357&lt;=5,1,2))</f>
      </c>
      <c r="AF357" s="7"/>
    </row>
    <row x14ac:dyDescent="0.25" r="358" customHeight="1" ht="17.25" hidden="1">
      <c r="A358" s="7" t="s">
        <v>49</v>
      </c>
      <c r="B358" s="7" t="s">
        <v>59</v>
      </c>
      <c r="C358" s="7" t="s">
        <v>141</v>
      </c>
      <c r="D358" s="10">
        <v>5</v>
      </c>
      <c r="E358" s="7" t="s">
        <v>51</v>
      </c>
      <c r="F358" s="10">
        <v>144</v>
      </c>
      <c r="G358" s="11">
        <v>90</v>
      </c>
      <c r="H358" s="12">
        <f>G358/((F358/100)*(F358/100))</f>
      </c>
      <c r="I358" s="11">
        <f>IF(H358&lt;25,0,IF(H358&lt;30,1,2))</f>
      </c>
      <c r="J358" s="13">
        <v>1</v>
      </c>
      <c r="K358" s="7" t="s">
        <v>86</v>
      </c>
      <c r="L358" s="7" t="s">
        <v>183</v>
      </c>
      <c r="M358" s="7" t="s">
        <v>41</v>
      </c>
      <c r="N358" s="7" t="s">
        <v>38</v>
      </c>
      <c r="O358" s="7" t="s">
        <v>80</v>
      </c>
      <c r="P358" s="7" t="s">
        <v>40</v>
      </c>
      <c r="Q358" s="10">
        <f>IF(P358="None of the above",0,2)</f>
      </c>
      <c r="R358" s="7" t="s">
        <v>56</v>
      </c>
      <c r="S358" s="15" t="s">
        <v>48</v>
      </c>
      <c r="T358" s="7" t="s">
        <v>96</v>
      </c>
      <c r="U358" s="10">
        <f>IF(T358="Heavy physical",0,IF(T358="Moderate activity",1,2))</f>
      </c>
      <c r="V358" s="5" t="s">
        <v>97</v>
      </c>
      <c r="W358" s="10">
        <f>IF(V358="7–8 hours",0,IF(V358="6–7 hours",1,2))</f>
      </c>
      <c r="X358" s="7" t="s">
        <v>70</v>
      </c>
      <c r="Y358" s="15" t="s">
        <v>75</v>
      </c>
      <c r="Z358" s="7" t="s">
        <v>45</v>
      </c>
      <c r="AA358" s="7" t="s">
        <v>42</v>
      </c>
      <c r="AB358" s="7" t="s">
        <v>42</v>
      </c>
      <c r="AC358" s="7" t="s">
        <v>42</v>
      </c>
      <c r="AD358" s="10">
        <f>I358 + Q358 + U358 + W358</f>
      </c>
      <c r="AE358" s="10">
        <f>IF(AD358&lt;=2,0,IF(AD358&lt;=5,1,2))</f>
      </c>
      <c r="AF358" s="7"/>
    </row>
    <row x14ac:dyDescent="0.25" r="359" customHeight="1" ht="17.25" hidden="1">
      <c r="A359" s="7" t="s">
        <v>31</v>
      </c>
      <c r="B359" s="7" t="s">
        <v>93</v>
      </c>
      <c r="C359" s="15" t="s">
        <v>110</v>
      </c>
      <c r="D359" s="10">
        <v>8</v>
      </c>
      <c r="E359" s="7" t="s">
        <v>34</v>
      </c>
      <c r="F359" s="10">
        <v>179</v>
      </c>
      <c r="G359" s="11">
        <v>99</v>
      </c>
      <c r="H359" s="12">
        <f>G359/((F359/100)*(F359/100))</f>
      </c>
      <c r="I359" s="11">
        <f>IF(H359&lt;25,0,IF(H359&lt;30,1,2))</f>
      </c>
      <c r="J359" s="13">
        <v>2</v>
      </c>
      <c r="K359" s="7" t="s">
        <v>52</v>
      </c>
      <c r="L359" s="7" t="s">
        <v>143</v>
      </c>
      <c r="M359" s="7" t="s">
        <v>54</v>
      </c>
      <c r="N359" s="7" t="s">
        <v>38</v>
      </c>
      <c r="O359" s="7" t="s">
        <v>68</v>
      </c>
      <c r="P359" s="15" t="s">
        <v>40</v>
      </c>
      <c r="Q359" s="10">
        <f>IF(P359="None of the above",0,2)</f>
      </c>
      <c r="R359" s="7" t="s">
        <v>56</v>
      </c>
      <c r="S359" s="7" t="s">
        <v>42</v>
      </c>
      <c r="T359" s="7" t="s">
        <v>96</v>
      </c>
      <c r="U359" s="10">
        <f>IF(T359="Heavy physical",0,IF(T359="Moderate activity",1,2))</f>
      </c>
      <c r="V359" s="5" t="s">
        <v>69</v>
      </c>
      <c r="W359" s="10">
        <f>IF(V359="7–8 hours",0,IF(V359="6–7 hours",1,2))</f>
      </c>
      <c r="X359" s="7" t="s">
        <v>45</v>
      </c>
      <c r="Y359" s="7" t="s">
        <v>58</v>
      </c>
      <c r="Z359" s="7" t="s">
        <v>65</v>
      </c>
      <c r="AA359" s="7" t="s">
        <v>48</v>
      </c>
      <c r="AB359" s="7" t="s">
        <v>42</v>
      </c>
      <c r="AC359" s="7" t="s">
        <v>48</v>
      </c>
      <c r="AD359" s="10">
        <f>I359 + Q359 + U359 + W359</f>
      </c>
      <c r="AE359" s="10">
        <f>IF(AD359&lt;=2,0,IF(AD359&lt;=5,1,2))</f>
      </c>
      <c r="AF359" s="7"/>
    </row>
    <row x14ac:dyDescent="0.25" r="360" customHeight="1" ht="17.25" hidden="1">
      <c r="A360" s="7" t="s">
        <v>49</v>
      </c>
      <c r="B360" s="7" t="s">
        <v>32</v>
      </c>
      <c r="C360" s="7" t="s">
        <v>141</v>
      </c>
      <c r="D360" s="10">
        <v>6</v>
      </c>
      <c r="E360" s="7" t="s">
        <v>34</v>
      </c>
      <c r="F360" s="10">
        <v>159</v>
      </c>
      <c r="G360" s="11">
        <v>110</v>
      </c>
      <c r="H360" s="12">
        <f>G360/((F360/100)*(F360/100))</f>
      </c>
      <c r="I360" s="11">
        <f>IF(H360&lt;25,0,IF(H360&lt;30,1,2))</f>
      </c>
      <c r="J360" s="13">
        <v>1</v>
      </c>
      <c r="K360" s="7" t="s">
        <v>86</v>
      </c>
      <c r="L360" s="7" t="s">
        <v>147</v>
      </c>
      <c r="M360" s="7" t="s">
        <v>185</v>
      </c>
      <c r="N360" s="7" t="s">
        <v>38</v>
      </c>
      <c r="O360" s="7" t="s">
        <v>80</v>
      </c>
      <c r="P360" s="15" t="s">
        <v>40</v>
      </c>
      <c r="Q360" s="10">
        <f>IF(P360="None of the above",0,2)</f>
      </c>
      <c r="R360" s="7" t="s">
        <v>56</v>
      </c>
      <c r="S360" s="15" t="s">
        <v>48</v>
      </c>
      <c r="T360" s="7" t="s">
        <v>96</v>
      </c>
      <c r="U360" s="10">
        <f>IF(T360="Heavy physical",0,IF(T360="Moderate activity",1,2))</f>
      </c>
      <c r="V360" s="5" t="s">
        <v>69</v>
      </c>
      <c r="W360" s="10">
        <f>IF(V360="7–8 hours",0,IF(V360="6–7 hours",1,2))</f>
      </c>
      <c r="X360" s="7" t="s">
        <v>45</v>
      </c>
      <c r="Y360" s="15" t="s">
        <v>64</v>
      </c>
      <c r="Z360" s="7" t="s">
        <v>45</v>
      </c>
      <c r="AA360" s="7" t="s">
        <v>48</v>
      </c>
      <c r="AB360" s="7" t="s">
        <v>42</v>
      </c>
      <c r="AC360" s="7" t="s">
        <v>42</v>
      </c>
      <c r="AD360" s="10">
        <f>I360 + Q360 + U360 + W360</f>
      </c>
      <c r="AE360" s="10">
        <f>IF(AD360&lt;=2,0,IF(AD360&lt;=5,1,2))</f>
      </c>
      <c r="AF360" s="7"/>
    </row>
    <row x14ac:dyDescent="0.25" r="361" customHeight="1" ht="17.25" hidden="1">
      <c r="A361" s="7" t="s">
        <v>76</v>
      </c>
      <c r="B361" s="7" t="s">
        <v>84</v>
      </c>
      <c r="C361" s="7" t="s">
        <v>33</v>
      </c>
      <c r="D361" s="10">
        <v>3</v>
      </c>
      <c r="E361" s="7" t="s">
        <v>51</v>
      </c>
      <c r="F361" s="10">
        <v>155</v>
      </c>
      <c r="G361" s="11">
        <v>61</v>
      </c>
      <c r="H361" s="12">
        <f>G361/((F361/100)*(F361/100))</f>
      </c>
      <c r="I361" s="11">
        <f>IF(H361&lt;25,0,IF(H361&lt;30,1,2))</f>
      </c>
      <c r="J361" s="13">
        <v>5</v>
      </c>
      <c r="K361" s="7" t="s">
        <v>72</v>
      </c>
      <c r="L361" s="7" t="s">
        <v>36</v>
      </c>
      <c r="M361" s="7" t="s">
        <v>54</v>
      </c>
      <c r="N361" s="7" t="s">
        <v>38</v>
      </c>
      <c r="O361" s="7" t="s">
        <v>39</v>
      </c>
      <c r="P361" s="7" t="s">
        <v>55</v>
      </c>
      <c r="Q361" s="10">
        <f>IF(P361="None of the above",0,2)</f>
      </c>
      <c r="R361" s="7" t="s">
        <v>56</v>
      </c>
      <c r="S361" s="15" t="s">
        <v>48</v>
      </c>
      <c r="T361" s="7" t="s">
        <v>96</v>
      </c>
      <c r="U361" s="10">
        <f>IF(T361="Heavy physical",0,IF(T361="Moderate activity",1,2))</f>
      </c>
      <c r="V361" s="5" t="s">
        <v>97</v>
      </c>
      <c r="W361" s="10">
        <f>IF(V361="7–8 hours",0,IF(V361="6–7 hours",1,2))</f>
      </c>
      <c r="X361" s="7" t="s">
        <v>70</v>
      </c>
      <c r="Y361" s="15" t="s">
        <v>75</v>
      </c>
      <c r="Z361" s="7" t="s">
        <v>47</v>
      </c>
      <c r="AA361" s="7" t="s">
        <v>42</v>
      </c>
      <c r="AB361" s="7" t="s">
        <v>42</v>
      </c>
      <c r="AC361" s="7" t="s">
        <v>42</v>
      </c>
      <c r="AD361" s="10">
        <f>I361 + Q361 + U361 + W361</f>
      </c>
      <c r="AE361" s="10">
        <f>IF(AD361&lt;=2,0,IF(AD361&lt;=5,1,2))</f>
      </c>
      <c r="AF361" s="7"/>
    </row>
    <row x14ac:dyDescent="0.25" r="362" customHeight="1" ht="17.25" hidden="1">
      <c r="A362" s="7" t="s">
        <v>76</v>
      </c>
      <c r="B362" s="7" t="s">
        <v>84</v>
      </c>
      <c r="C362" s="15" t="s">
        <v>110</v>
      </c>
      <c r="D362" s="10">
        <v>5</v>
      </c>
      <c r="E362" s="7" t="s">
        <v>51</v>
      </c>
      <c r="F362" s="10">
        <v>196</v>
      </c>
      <c r="G362" s="11">
        <v>115</v>
      </c>
      <c r="H362" s="12">
        <f>G362/((F362/100)*(F362/100))</f>
      </c>
      <c r="I362" s="11">
        <f>IF(H362&lt;25,0,IF(H362&lt;30,1,2))</f>
      </c>
      <c r="J362" s="13">
        <v>3</v>
      </c>
      <c r="K362" s="7" t="s">
        <v>52</v>
      </c>
      <c r="L362" s="7" t="s">
        <v>147</v>
      </c>
      <c r="M362" s="7" t="s">
        <v>215</v>
      </c>
      <c r="N362" s="7" t="s">
        <v>38</v>
      </c>
      <c r="O362" s="7" t="s">
        <v>80</v>
      </c>
      <c r="P362" s="7" t="s">
        <v>55</v>
      </c>
      <c r="Q362" s="10">
        <f>IF(P362="None of the above",0,2)</f>
      </c>
      <c r="R362" s="7" t="s">
        <v>56</v>
      </c>
      <c r="S362" s="7" t="s">
        <v>42</v>
      </c>
      <c r="T362" s="7" t="s">
        <v>96</v>
      </c>
      <c r="U362" s="10">
        <f>IF(T362="Heavy physical",0,IF(T362="Moderate activity",1,2))</f>
      </c>
      <c r="V362" s="5" t="s">
        <v>57</v>
      </c>
      <c r="W362" s="10">
        <f>IF(V362="7–8 hours",0,IF(V362="6–7 hours",1,2))</f>
      </c>
      <c r="X362" s="7" t="s">
        <v>102</v>
      </c>
      <c r="Y362" s="15" t="s">
        <v>64</v>
      </c>
      <c r="Z362" s="7" t="s">
        <v>92</v>
      </c>
      <c r="AA362" s="7" t="s">
        <v>42</v>
      </c>
      <c r="AB362" s="7" t="s">
        <v>42</v>
      </c>
      <c r="AC362" s="7" t="s">
        <v>42</v>
      </c>
      <c r="AD362" s="10">
        <f>I362 + Q362 + U362 + W362</f>
      </c>
      <c r="AE362" s="10">
        <f>IF(AD362&lt;=2,0,IF(AD362&lt;=5,1,2))</f>
      </c>
      <c r="AF362" s="7"/>
    </row>
    <row x14ac:dyDescent="0.25" r="363" customHeight="1" ht="17.25" hidden="1">
      <c r="A363" s="7" t="s">
        <v>76</v>
      </c>
      <c r="B363" s="7" t="s">
        <v>66</v>
      </c>
      <c r="C363" s="7" t="s">
        <v>141</v>
      </c>
      <c r="D363" s="10">
        <v>8</v>
      </c>
      <c r="E363" s="7" t="s">
        <v>51</v>
      </c>
      <c r="F363" s="10">
        <v>146</v>
      </c>
      <c r="G363" s="11">
        <v>74</v>
      </c>
      <c r="H363" s="12">
        <f>G363/((F363/100)*(F363/100))</f>
      </c>
      <c r="I363" s="11">
        <f>IF(H363&lt;25,0,IF(H363&lt;30,1,2))</f>
      </c>
      <c r="J363" s="13">
        <v>2</v>
      </c>
      <c r="K363" s="7" t="s">
        <v>61</v>
      </c>
      <c r="L363" s="7" t="s">
        <v>216</v>
      </c>
      <c r="M363" s="7" t="s">
        <v>54</v>
      </c>
      <c r="N363" s="7" t="s">
        <v>38</v>
      </c>
      <c r="O363" s="7" t="s">
        <v>68</v>
      </c>
      <c r="P363" s="7" t="s">
        <v>40</v>
      </c>
      <c r="Q363" s="10">
        <f>IF(P363="None of the above",0,2)</f>
      </c>
      <c r="R363" s="7" t="s">
        <v>56</v>
      </c>
      <c r="S363" s="15" t="s">
        <v>48</v>
      </c>
      <c r="T363" s="7" t="s">
        <v>96</v>
      </c>
      <c r="U363" s="10">
        <f>IF(T363="Heavy physical",0,IF(T363="Moderate activity",1,2))</f>
      </c>
      <c r="V363" s="5" t="s">
        <v>97</v>
      </c>
      <c r="W363" s="10">
        <f>IF(V363="7–8 hours",0,IF(V363="6–7 hours",1,2))</f>
      </c>
      <c r="X363" s="7" t="s">
        <v>45</v>
      </c>
      <c r="Y363" s="7" t="s">
        <v>58</v>
      </c>
      <c r="Z363" s="7" t="s">
        <v>92</v>
      </c>
      <c r="AA363" s="7" t="s">
        <v>42</v>
      </c>
      <c r="AB363" s="7" t="s">
        <v>42</v>
      </c>
      <c r="AC363" s="7" t="s">
        <v>42</v>
      </c>
      <c r="AD363" s="10">
        <f>I363 + Q363 + U363 + W363</f>
      </c>
      <c r="AE363" s="10">
        <f>IF(AD363&lt;=2,0,IF(AD363&lt;=5,1,2))</f>
      </c>
      <c r="AF363" s="7"/>
    </row>
    <row x14ac:dyDescent="0.25" r="364" customHeight="1" ht="17.25" hidden="1">
      <c r="A364" s="7" t="s">
        <v>76</v>
      </c>
      <c r="B364" s="7" t="s">
        <v>84</v>
      </c>
      <c r="C364" s="15" t="s">
        <v>110</v>
      </c>
      <c r="D364" s="10">
        <v>7</v>
      </c>
      <c r="E364" s="7" t="s">
        <v>51</v>
      </c>
      <c r="F364" s="10">
        <v>148</v>
      </c>
      <c r="G364" s="11">
        <v>73</v>
      </c>
      <c r="H364" s="12">
        <f>G364/((F364/100)*(F364/100))</f>
      </c>
      <c r="I364" s="11">
        <f>IF(H364&lt;25,0,IF(H364&lt;30,1,2))</f>
      </c>
      <c r="J364" s="13">
        <v>2</v>
      </c>
      <c r="K364" s="7" t="s">
        <v>105</v>
      </c>
      <c r="L364" s="7" t="s">
        <v>94</v>
      </c>
      <c r="M364" s="7" t="s">
        <v>54</v>
      </c>
      <c r="N364" s="7" t="s">
        <v>38</v>
      </c>
      <c r="O364" s="7" t="s">
        <v>80</v>
      </c>
      <c r="P364" s="7" t="s">
        <v>55</v>
      </c>
      <c r="Q364" s="10">
        <f>IF(P364="None of the above",0,2)</f>
      </c>
      <c r="R364" s="7" t="s">
        <v>56</v>
      </c>
      <c r="S364" s="7" t="s">
        <v>42</v>
      </c>
      <c r="T364" s="7" t="s">
        <v>96</v>
      </c>
      <c r="U364" s="10">
        <f>IF(T364="Heavy physical",0,IF(T364="Moderate activity",1,2))</f>
      </c>
      <c r="V364" s="5" t="s">
        <v>44</v>
      </c>
      <c r="W364" s="10">
        <f>IF(V364="7–8 hours",0,IF(V364="6–7 hours",1,2))</f>
      </c>
      <c r="X364" s="7" t="s">
        <v>83</v>
      </c>
      <c r="Y364" s="15" t="s">
        <v>64</v>
      </c>
      <c r="Z364" s="7" t="s">
        <v>45</v>
      </c>
      <c r="AA364" s="7" t="s">
        <v>42</v>
      </c>
      <c r="AB364" s="7" t="s">
        <v>42</v>
      </c>
      <c r="AC364" s="7" t="s">
        <v>42</v>
      </c>
      <c r="AD364" s="10">
        <f>I364 + Q364 + U364 + W364</f>
      </c>
      <c r="AE364" s="10">
        <f>IF(AD364&lt;=2,0,IF(AD364&lt;=5,1,2))</f>
      </c>
      <c r="AF364" s="7"/>
    </row>
    <row x14ac:dyDescent="0.25" r="365" customHeight="1" ht="17.25" hidden="1">
      <c r="A365" s="7" t="s">
        <v>31</v>
      </c>
      <c r="B365" s="7" t="s">
        <v>93</v>
      </c>
      <c r="C365" s="7" t="s">
        <v>141</v>
      </c>
      <c r="D365" s="10">
        <v>6</v>
      </c>
      <c r="E365" s="7" t="s">
        <v>51</v>
      </c>
      <c r="F365" s="10">
        <v>150</v>
      </c>
      <c r="G365" s="11">
        <v>54</v>
      </c>
      <c r="H365" s="11">
        <f>G365/((F365/100)*(F365/100))</f>
      </c>
      <c r="I365" s="11">
        <f>IF(H365&lt;25,0,IF(H365&lt;30,1,2))</f>
      </c>
      <c r="J365" s="13">
        <v>3</v>
      </c>
      <c r="K365" s="7" t="s">
        <v>52</v>
      </c>
      <c r="L365" s="7" t="s">
        <v>94</v>
      </c>
      <c r="M365" s="7" t="s">
        <v>54</v>
      </c>
      <c r="N365" s="7" t="s">
        <v>38</v>
      </c>
      <c r="O365" s="7" t="s">
        <v>39</v>
      </c>
      <c r="P365" s="7" t="s">
        <v>55</v>
      </c>
      <c r="Q365" s="10">
        <f>IF(P365="None of the above",0,2)</f>
      </c>
      <c r="R365" s="7" t="s">
        <v>56</v>
      </c>
      <c r="S365" s="7" t="s">
        <v>42</v>
      </c>
      <c r="T365" s="7" t="s">
        <v>96</v>
      </c>
      <c r="U365" s="10">
        <f>IF(T365="Heavy physical",0,IF(T365="Moderate activity",1,2))</f>
      </c>
      <c r="V365" s="5" t="s">
        <v>97</v>
      </c>
      <c r="W365" s="10">
        <f>IF(V365="7–8 hours",0,IF(V365="6–7 hours",1,2))</f>
      </c>
      <c r="X365" s="7" t="s">
        <v>45</v>
      </c>
      <c r="Y365" s="7" t="s">
        <v>58</v>
      </c>
      <c r="Z365" s="7" t="s">
        <v>45</v>
      </c>
      <c r="AA365" s="7" t="s">
        <v>42</v>
      </c>
      <c r="AB365" s="7" t="s">
        <v>42</v>
      </c>
      <c r="AC365" s="7" t="s">
        <v>42</v>
      </c>
      <c r="AD365" s="10">
        <f>I365 + Q365 + U365 + W365</f>
      </c>
      <c r="AE365" s="10">
        <f>IF(AD365&lt;=2,0,IF(AD365&lt;=5,1,2))</f>
      </c>
      <c r="AF365" s="7"/>
    </row>
    <row x14ac:dyDescent="0.25" r="366" customHeight="1" ht="17.25" hidden="1">
      <c r="A366" s="7" t="s">
        <v>76</v>
      </c>
      <c r="B366" s="7" t="s">
        <v>77</v>
      </c>
      <c r="C366" s="7" t="s">
        <v>33</v>
      </c>
      <c r="D366" s="10">
        <v>2</v>
      </c>
      <c r="E366" s="7" t="s">
        <v>51</v>
      </c>
      <c r="F366" s="10">
        <v>151</v>
      </c>
      <c r="G366" s="11">
        <v>68</v>
      </c>
      <c r="H366" s="12">
        <f>G366/((F366/100)*(F366/100))</f>
      </c>
      <c r="I366" s="11">
        <f>IF(H366&lt;25,0,IF(H366&lt;30,1,2))</f>
      </c>
      <c r="J366" s="13">
        <v>3</v>
      </c>
      <c r="K366" s="7" t="s">
        <v>72</v>
      </c>
      <c r="L366" s="7" t="s">
        <v>174</v>
      </c>
      <c r="M366" s="7" t="s">
        <v>41</v>
      </c>
      <c r="N366" s="7" t="s">
        <v>38</v>
      </c>
      <c r="O366" s="7" t="s">
        <v>63</v>
      </c>
      <c r="P366" s="7" t="s">
        <v>40</v>
      </c>
      <c r="Q366" s="10">
        <f>IF(P366="None of the above",0,2)</f>
      </c>
      <c r="R366" s="7" t="s">
        <v>56</v>
      </c>
      <c r="S366" s="15" t="s">
        <v>48</v>
      </c>
      <c r="T366" s="7" t="s">
        <v>96</v>
      </c>
      <c r="U366" s="10">
        <f>IF(T366="Heavy physical",0,IF(T366="Moderate activity",1,2))</f>
      </c>
      <c r="V366" s="5" t="s">
        <v>57</v>
      </c>
      <c r="W366" s="10">
        <f>IF(V366="7–8 hours",0,IF(V366="6–7 hours",1,2))</f>
      </c>
      <c r="X366" s="7" t="s">
        <v>102</v>
      </c>
      <c r="Y366" s="7" t="s">
        <v>58</v>
      </c>
      <c r="Z366" s="7" t="s">
        <v>45</v>
      </c>
      <c r="AA366" s="7" t="s">
        <v>42</v>
      </c>
      <c r="AB366" s="7" t="s">
        <v>42</v>
      </c>
      <c r="AC366" s="7" t="s">
        <v>42</v>
      </c>
      <c r="AD366" s="10">
        <f>I366 + Q366 + U366 + W366</f>
      </c>
      <c r="AE366" s="10">
        <f>IF(AD366&lt;=2,0,IF(AD366&lt;=5,1,2))</f>
      </c>
      <c r="AF366" s="7"/>
    </row>
    <row x14ac:dyDescent="0.25" r="367" customHeight="1" ht="17.25" hidden="1">
      <c r="A367" s="7" t="s">
        <v>76</v>
      </c>
      <c r="B367" s="7" t="s">
        <v>71</v>
      </c>
      <c r="C367" s="7" t="s">
        <v>120</v>
      </c>
      <c r="D367" s="10">
        <v>2</v>
      </c>
      <c r="E367" s="7" t="s">
        <v>51</v>
      </c>
      <c r="F367" s="10">
        <v>144</v>
      </c>
      <c r="G367" s="11">
        <v>89</v>
      </c>
      <c r="H367" s="12">
        <f>G367/((F367/100)*(F367/100))</f>
      </c>
      <c r="I367" s="11">
        <f>IF(H367&lt;25,0,IF(H367&lt;30,1,2))</f>
      </c>
      <c r="J367" s="13">
        <v>3</v>
      </c>
      <c r="K367" s="7" t="s">
        <v>72</v>
      </c>
      <c r="L367" s="7" t="s">
        <v>152</v>
      </c>
      <c r="M367" s="7" t="s">
        <v>54</v>
      </c>
      <c r="N367" s="7" t="s">
        <v>38</v>
      </c>
      <c r="O367" s="7" t="s">
        <v>68</v>
      </c>
      <c r="P367" s="7" t="s">
        <v>40</v>
      </c>
      <c r="Q367" s="10">
        <f>IF(P367="None of the above",0,2)</f>
      </c>
      <c r="R367" s="7" t="s">
        <v>56</v>
      </c>
      <c r="S367" s="15" t="s">
        <v>48</v>
      </c>
      <c r="T367" s="7" t="s">
        <v>96</v>
      </c>
      <c r="U367" s="10">
        <f>IF(T367="Heavy physical",0,IF(T367="Moderate activity",1,2))</f>
      </c>
      <c r="V367" s="5" t="s">
        <v>97</v>
      </c>
      <c r="W367" s="10">
        <f>IF(V367="7–8 hours",0,IF(V367="6–7 hours",1,2))</f>
      </c>
      <c r="X367" s="7" t="s">
        <v>45</v>
      </c>
      <c r="Y367" s="15" t="s">
        <v>75</v>
      </c>
      <c r="Z367" s="7" t="s">
        <v>65</v>
      </c>
      <c r="AA367" s="7" t="s">
        <v>42</v>
      </c>
      <c r="AB367" s="7" t="s">
        <v>42</v>
      </c>
      <c r="AC367" s="7" t="s">
        <v>42</v>
      </c>
      <c r="AD367" s="10">
        <f>I367 + Q367 + U367 + W367</f>
      </c>
      <c r="AE367" s="10">
        <f>IF(AD367&lt;=2,0,IF(AD367&lt;=5,1,2))</f>
      </c>
      <c r="AF367" s="7"/>
    </row>
    <row x14ac:dyDescent="0.25" r="368" customHeight="1" ht="17.25" hidden="1">
      <c r="A368" s="7" t="s">
        <v>76</v>
      </c>
      <c r="B368" s="7" t="s">
        <v>71</v>
      </c>
      <c r="C368" s="7" t="s">
        <v>78</v>
      </c>
      <c r="D368" s="10">
        <v>8</v>
      </c>
      <c r="E368" s="7" t="s">
        <v>51</v>
      </c>
      <c r="F368" s="10">
        <v>157</v>
      </c>
      <c r="G368" s="11">
        <v>62</v>
      </c>
      <c r="H368" s="12">
        <f>G368/((F368/100)*(F368/100))</f>
      </c>
      <c r="I368" s="11">
        <f>IF(H368&lt;25,0,IF(H368&lt;30,1,2))</f>
      </c>
      <c r="J368" s="13">
        <v>3</v>
      </c>
      <c r="K368" s="7" t="s">
        <v>86</v>
      </c>
      <c r="L368" s="7" t="s">
        <v>152</v>
      </c>
      <c r="M368" s="7" t="s">
        <v>41</v>
      </c>
      <c r="N368" s="7" t="s">
        <v>38</v>
      </c>
      <c r="O368" s="7" t="s">
        <v>68</v>
      </c>
      <c r="P368" s="7" t="s">
        <v>55</v>
      </c>
      <c r="Q368" s="10">
        <f>IF(P368="None of the above",0,2)</f>
      </c>
      <c r="R368" s="7" t="s">
        <v>56</v>
      </c>
      <c r="S368" s="7" t="s">
        <v>42</v>
      </c>
      <c r="T368" s="7" t="s">
        <v>96</v>
      </c>
      <c r="U368" s="10">
        <f>IF(T368="Heavy physical",0,IF(T368="Moderate activity",1,2))</f>
      </c>
      <c r="V368" s="5" t="s">
        <v>57</v>
      </c>
      <c r="W368" s="10">
        <f>IF(V368="7–8 hours",0,IF(V368="6–7 hours",1,2))</f>
      </c>
      <c r="X368" s="7" t="s">
        <v>70</v>
      </c>
      <c r="Y368" s="15" t="s">
        <v>64</v>
      </c>
      <c r="Z368" s="7" t="s">
        <v>65</v>
      </c>
      <c r="AA368" s="7" t="s">
        <v>42</v>
      </c>
      <c r="AB368" s="7" t="s">
        <v>42</v>
      </c>
      <c r="AC368" s="7" t="s">
        <v>42</v>
      </c>
      <c r="AD368" s="10">
        <f>I368 + Q368 + U368 + W368</f>
      </c>
      <c r="AE368" s="10">
        <f>IF(AD368&lt;=2,0,IF(AD368&lt;=5,1,2))</f>
      </c>
      <c r="AF368" s="7"/>
    </row>
    <row x14ac:dyDescent="0.25" r="369" customHeight="1" ht="17.25" hidden="1">
      <c r="A369" s="7" t="s">
        <v>31</v>
      </c>
      <c r="B369" s="7" t="s">
        <v>32</v>
      </c>
      <c r="C369" s="7" t="s">
        <v>120</v>
      </c>
      <c r="D369" s="10">
        <v>5</v>
      </c>
      <c r="E369" s="7" t="s">
        <v>34</v>
      </c>
      <c r="F369" s="10">
        <v>191</v>
      </c>
      <c r="G369" s="11">
        <v>74</v>
      </c>
      <c r="H369" s="12">
        <f>G369/((F369/100)*(F369/100))</f>
      </c>
      <c r="I369" s="11">
        <f>IF(H369&lt;25,0,IF(H369&lt;30,1,2))</f>
      </c>
      <c r="J369" s="13">
        <v>3</v>
      </c>
      <c r="K369" s="7" t="s">
        <v>35</v>
      </c>
      <c r="L369" s="7" t="s">
        <v>114</v>
      </c>
      <c r="M369" s="7" t="s">
        <v>54</v>
      </c>
      <c r="N369" s="7" t="s">
        <v>38</v>
      </c>
      <c r="O369" s="7" t="s">
        <v>74</v>
      </c>
      <c r="P369" s="15" t="s">
        <v>132</v>
      </c>
      <c r="Q369" s="10">
        <f>IF(P369="None of the above",0,2)</f>
      </c>
      <c r="R369" s="7" t="s">
        <v>56</v>
      </c>
      <c r="S369" s="15" t="s">
        <v>48</v>
      </c>
      <c r="T369" s="7" t="s">
        <v>99</v>
      </c>
      <c r="U369" s="10">
        <f>IF(T369="Heavy physical",0,IF(T369="Moderate activity",1,2))</f>
      </c>
      <c r="V369" s="5" t="s">
        <v>97</v>
      </c>
      <c r="W369" s="10">
        <f>IF(V369="7–8 hours",0,IF(V369="6–7 hours",1,2))</f>
      </c>
      <c r="X369" s="7" t="s">
        <v>83</v>
      </c>
      <c r="Y369" s="7" t="s">
        <v>58</v>
      </c>
      <c r="Z369" s="7" t="s">
        <v>92</v>
      </c>
      <c r="AA369" s="7" t="s">
        <v>42</v>
      </c>
      <c r="AB369" s="7" t="s">
        <v>42</v>
      </c>
      <c r="AC369" s="7" t="s">
        <v>48</v>
      </c>
      <c r="AD369" s="10">
        <f>I369 + Q369 + U369 + W369</f>
      </c>
      <c r="AE369" s="10">
        <f>IF(AD369&lt;=2,0,IF(AD369&lt;=5,1,2))</f>
      </c>
      <c r="AF369" s="7"/>
    </row>
    <row x14ac:dyDescent="0.25" r="370" customHeight="1" ht="17.25" hidden="1">
      <c r="A370" s="7" t="s">
        <v>76</v>
      </c>
      <c r="B370" s="7" t="s">
        <v>71</v>
      </c>
      <c r="C370" s="15" t="s">
        <v>110</v>
      </c>
      <c r="D370" s="10">
        <v>3</v>
      </c>
      <c r="E370" s="7" t="s">
        <v>34</v>
      </c>
      <c r="F370" s="10">
        <v>144</v>
      </c>
      <c r="G370" s="11">
        <v>107</v>
      </c>
      <c r="H370" s="12">
        <f>G370/((F370/100)*(F370/100))</f>
      </c>
      <c r="I370" s="11">
        <f>IF(H370&lt;25,0,IF(H370&lt;30,1,2))</f>
      </c>
      <c r="J370" s="13">
        <v>2</v>
      </c>
      <c r="K370" s="7" t="s">
        <v>72</v>
      </c>
      <c r="L370" s="7" t="s">
        <v>121</v>
      </c>
      <c r="M370" s="7" t="s">
        <v>54</v>
      </c>
      <c r="N370" s="7" t="s">
        <v>38</v>
      </c>
      <c r="O370" s="7" t="s">
        <v>74</v>
      </c>
      <c r="P370" s="7" t="s">
        <v>40</v>
      </c>
      <c r="Q370" s="10">
        <f>IF(P370="None of the above",0,2)</f>
      </c>
      <c r="R370" s="7" t="s">
        <v>56</v>
      </c>
      <c r="S370" s="15" t="s">
        <v>48</v>
      </c>
      <c r="T370" s="7" t="s">
        <v>96</v>
      </c>
      <c r="U370" s="10">
        <f>IF(T370="Heavy physical",0,IF(T370="Moderate activity",1,2))</f>
      </c>
      <c r="V370" s="5" t="s">
        <v>57</v>
      </c>
      <c r="W370" s="10">
        <f>IF(V370="7–8 hours",0,IF(V370="6–7 hours",1,2))</f>
      </c>
      <c r="X370" s="7" t="s">
        <v>70</v>
      </c>
      <c r="Y370" s="7" t="s">
        <v>58</v>
      </c>
      <c r="Z370" s="7" t="s">
        <v>45</v>
      </c>
      <c r="AA370" s="7" t="s">
        <v>42</v>
      </c>
      <c r="AB370" s="7" t="s">
        <v>42</v>
      </c>
      <c r="AC370" s="7" t="s">
        <v>48</v>
      </c>
      <c r="AD370" s="10">
        <f>I370 + Q370 + U370 + W370</f>
      </c>
      <c r="AE370" s="10">
        <f>IF(AD370&lt;=2,0,IF(AD370&lt;=5,1,2))</f>
      </c>
      <c r="AF370" s="7"/>
    </row>
    <row x14ac:dyDescent="0.25" r="371" customHeight="1" ht="17.25" hidden="1">
      <c r="A371" s="7" t="s">
        <v>76</v>
      </c>
      <c r="B371" s="7" t="s">
        <v>59</v>
      </c>
      <c r="C371" s="7" t="s">
        <v>141</v>
      </c>
      <c r="D371" s="10">
        <v>2</v>
      </c>
      <c r="E371" s="7" t="s">
        <v>51</v>
      </c>
      <c r="F371" s="10">
        <v>192</v>
      </c>
      <c r="G371" s="11">
        <v>83</v>
      </c>
      <c r="H371" s="12">
        <f>G371/((F371/100)*(F371/100))</f>
      </c>
      <c r="I371" s="11">
        <f>IF(H371&lt;25,0,IF(H371&lt;30,1,2))</f>
      </c>
      <c r="J371" s="13">
        <v>3</v>
      </c>
      <c r="K371" s="7" t="s">
        <v>52</v>
      </c>
      <c r="L371" s="7" t="s">
        <v>36</v>
      </c>
      <c r="M371" s="7" t="s">
        <v>185</v>
      </c>
      <c r="N371" s="7" t="s">
        <v>38</v>
      </c>
      <c r="O371" s="7" t="s">
        <v>63</v>
      </c>
      <c r="P371" s="7" t="s">
        <v>81</v>
      </c>
      <c r="Q371" s="10">
        <f>IF(P371="None of the above",0,2)</f>
      </c>
      <c r="R371" s="7" t="s">
        <v>56</v>
      </c>
      <c r="S371" s="7" t="s">
        <v>42</v>
      </c>
      <c r="T371" s="7" t="s">
        <v>96</v>
      </c>
      <c r="U371" s="10">
        <f>IF(T371="Heavy physical",0,IF(T371="Moderate activity",1,2))</f>
      </c>
      <c r="V371" s="5" t="s">
        <v>57</v>
      </c>
      <c r="W371" s="10">
        <f>IF(V371="7–8 hours",0,IF(V371="6–7 hours",1,2))</f>
      </c>
      <c r="X371" s="7" t="s">
        <v>70</v>
      </c>
      <c r="Y371" s="15" t="s">
        <v>75</v>
      </c>
      <c r="Z371" s="7" t="s">
        <v>45</v>
      </c>
      <c r="AA371" s="7" t="s">
        <v>42</v>
      </c>
      <c r="AB371" s="7" t="s">
        <v>42</v>
      </c>
      <c r="AC371" s="7" t="s">
        <v>42</v>
      </c>
      <c r="AD371" s="10">
        <f>I371 + Q371 + U371 + W371</f>
      </c>
      <c r="AE371" s="10">
        <f>IF(AD371&lt;=2,0,IF(AD371&lt;=5,1,2))</f>
      </c>
      <c r="AF371" s="7"/>
    </row>
    <row x14ac:dyDescent="0.25" r="372" customHeight="1" ht="17.25" hidden="1">
      <c r="A372" s="7" t="s">
        <v>49</v>
      </c>
      <c r="B372" s="7" t="s">
        <v>77</v>
      </c>
      <c r="C372" s="7" t="s">
        <v>33</v>
      </c>
      <c r="D372" s="10">
        <v>1</v>
      </c>
      <c r="E372" s="7" t="s">
        <v>51</v>
      </c>
      <c r="F372" s="10">
        <v>181</v>
      </c>
      <c r="G372" s="11">
        <v>52</v>
      </c>
      <c r="H372" s="12">
        <f>G372/((F372/100)*(F372/100))</f>
      </c>
      <c r="I372" s="11">
        <f>IF(H372&lt;25,0,IF(H372&lt;30,1,2))</f>
      </c>
      <c r="J372" s="13">
        <v>3</v>
      </c>
      <c r="K372" s="7" t="s">
        <v>61</v>
      </c>
      <c r="L372" s="7" t="s">
        <v>147</v>
      </c>
      <c r="M372" s="7" t="s">
        <v>54</v>
      </c>
      <c r="N372" s="7" t="s">
        <v>38</v>
      </c>
      <c r="O372" s="7" t="s">
        <v>68</v>
      </c>
      <c r="P372" s="7" t="s">
        <v>81</v>
      </c>
      <c r="Q372" s="10">
        <f>IF(P372="None of the above",0,2)</f>
      </c>
      <c r="R372" s="7" t="s">
        <v>56</v>
      </c>
      <c r="S372" s="15" t="s">
        <v>48</v>
      </c>
      <c r="T372" s="7" t="s">
        <v>96</v>
      </c>
      <c r="U372" s="10">
        <f>IF(T372="Heavy physical",0,IF(T372="Moderate activity",1,2))</f>
      </c>
      <c r="V372" s="5" t="s">
        <v>69</v>
      </c>
      <c r="W372" s="10">
        <f>IF(V372="7–8 hours",0,IF(V372="6–7 hours",1,2))</f>
      </c>
      <c r="X372" s="7" t="s">
        <v>83</v>
      </c>
      <c r="Y372" s="15" t="s">
        <v>64</v>
      </c>
      <c r="Z372" s="7" t="s">
        <v>45</v>
      </c>
      <c r="AA372" s="7" t="s">
        <v>42</v>
      </c>
      <c r="AB372" s="7" t="s">
        <v>42</v>
      </c>
      <c r="AC372" s="7" t="s">
        <v>42</v>
      </c>
      <c r="AD372" s="10">
        <f>I372 + Q372 + U372 + W372</f>
      </c>
      <c r="AE372" s="10">
        <f>IF(AD372&lt;=2,0,IF(AD372&lt;=5,1,2))</f>
      </c>
      <c r="AF372" s="7"/>
    </row>
    <row x14ac:dyDescent="0.25" r="373" customHeight="1" ht="17.25" hidden="1">
      <c r="A373" s="7" t="s">
        <v>49</v>
      </c>
      <c r="B373" s="7" t="s">
        <v>93</v>
      </c>
      <c r="C373" s="7" t="s">
        <v>141</v>
      </c>
      <c r="D373" s="10">
        <v>3</v>
      </c>
      <c r="E373" s="7" t="s">
        <v>34</v>
      </c>
      <c r="F373" s="10">
        <v>146</v>
      </c>
      <c r="G373" s="11">
        <v>49</v>
      </c>
      <c r="H373" s="12">
        <f>G373/((F373/100)*(F373/100))</f>
      </c>
      <c r="I373" s="11">
        <f>IF(H373&lt;25,0,IF(H373&lt;30,1,2))</f>
      </c>
      <c r="J373" s="13">
        <v>3</v>
      </c>
      <c r="K373" s="7" t="s">
        <v>105</v>
      </c>
      <c r="L373" s="7" t="s">
        <v>217</v>
      </c>
      <c r="M373" s="7" t="s">
        <v>185</v>
      </c>
      <c r="N373" s="7" t="s">
        <v>38</v>
      </c>
      <c r="O373" s="7" t="s">
        <v>80</v>
      </c>
      <c r="P373" s="7" t="s">
        <v>40</v>
      </c>
      <c r="Q373" s="10">
        <f>IF(P373="None of the above",0,2)</f>
      </c>
      <c r="R373" s="7" t="s">
        <v>56</v>
      </c>
      <c r="S373" s="15" t="s">
        <v>48</v>
      </c>
      <c r="T373" s="7" t="s">
        <v>96</v>
      </c>
      <c r="U373" s="10">
        <f>IF(T373="Heavy physical",0,IF(T373="Moderate activity",1,2))</f>
      </c>
      <c r="V373" s="5" t="s">
        <v>57</v>
      </c>
      <c r="W373" s="10">
        <f>IF(V373="7–8 hours",0,IF(V373="6–7 hours",1,2))</f>
      </c>
      <c r="X373" s="7" t="s">
        <v>83</v>
      </c>
      <c r="Y373" s="15" t="s">
        <v>64</v>
      </c>
      <c r="Z373" s="7" t="s">
        <v>45</v>
      </c>
      <c r="AA373" s="7" t="s">
        <v>48</v>
      </c>
      <c r="AB373" s="7" t="s">
        <v>48</v>
      </c>
      <c r="AC373" s="7" t="s">
        <v>48</v>
      </c>
      <c r="AD373" s="10">
        <f>I373 + Q373 + U373 + W373</f>
      </c>
      <c r="AE373" s="10">
        <f>IF(AD373&lt;=2,0,IF(AD373&lt;=5,1,2))</f>
      </c>
      <c r="AF373" s="7"/>
    </row>
    <row x14ac:dyDescent="0.25" r="374" customHeight="1" ht="17.25" hidden="1">
      <c r="A374" s="7" t="s">
        <v>76</v>
      </c>
      <c r="B374" s="7" t="s">
        <v>66</v>
      </c>
      <c r="C374" s="7" t="s">
        <v>120</v>
      </c>
      <c r="D374" s="10">
        <v>7</v>
      </c>
      <c r="E374" s="7" t="s">
        <v>51</v>
      </c>
      <c r="F374" s="10">
        <v>173</v>
      </c>
      <c r="G374" s="11">
        <v>118</v>
      </c>
      <c r="H374" s="12">
        <f>G374/((F374/100)*(F374/100))</f>
      </c>
      <c r="I374" s="11">
        <f>IF(H374&lt;25,0,IF(H374&lt;30,1,2))</f>
      </c>
      <c r="J374" s="13">
        <v>2</v>
      </c>
      <c r="K374" s="7" t="s">
        <v>105</v>
      </c>
      <c r="L374" s="7" t="s">
        <v>36</v>
      </c>
      <c r="M374" s="7" t="s">
        <v>185</v>
      </c>
      <c r="N374" s="7" t="s">
        <v>38</v>
      </c>
      <c r="O374" s="7" t="s">
        <v>39</v>
      </c>
      <c r="P374" s="7" t="s">
        <v>55</v>
      </c>
      <c r="Q374" s="10">
        <f>IF(P374="None of the above",0,2)</f>
      </c>
      <c r="R374" s="7" t="s">
        <v>56</v>
      </c>
      <c r="S374" s="15" t="s">
        <v>48</v>
      </c>
      <c r="T374" s="7" t="s">
        <v>99</v>
      </c>
      <c r="U374" s="10">
        <f>IF(T374="Heavy physical",0,IF(T374="Moderate activity",1,2))</f>
      </c>
      <c r="V374" s="5" t="s">
        <v>57</v>
      </c>
      <c r="W374" s="10">
        <f>IF(V374="7–8 hours",0,IF(V374="6–7 hours",1,2))</f>
      </c>
      <c r="X374" s="7" t="s">
        <v>70</v>
      </c>
      <c r="Y374" s="15" t="s">
        <v>64</v>
      </c>
      <c r="Z374" s="7" t="s">
        <v>65</v>
      </c>
      <c r="AA374" s="7" t="s">
        <v>42</v>
      </c>
      <c r="AB374" s="7" t="s">
        <v>42</v>
      </c>
      <c r="AC374" s="7" t="s">
        <v>42</v>
      </c>
      <c r="AD374" s="10">
        <f>I374 + Q374 + U374 + W374</f>
      </c>
      <c r="AE374" s="10">
        <f>IF(AD374&lt;=2,0,IF(AD374&lt;=5,1,2))</f>
      </c>
      <c r="AF374" s="7"/>
    </row>
    <row x14ac:dyDescent="0.25" r="375" customHeight="1" ht="17.25" hidden="1">
      <c r="A375" s="7" t="s">
        <v>31</v>
      </c>
      <c r="B375" s="7" t="s">
        <v>59</v>
      </c>
      <c r="C375" s="7" t="s">
        <v>33</v>
      </c>
      <c r="D375" s="10">
        <v>8</v>
      </c>
      <c r="E375" s="7" t="s">
        <v>34</v>
      </c>
      <c r="F375" s="10">
        <v>154</v>
      </c>
      <c r="G375" s="11">
        <v>63</v>
      </c>
      <c r="H375" s="12">
        <f>G375/((F375/100)*(F375/100))</f>
      </c>
      <c r="I375" s="11">
        <f>IF(H375&lt;25,0,IF(H375&lt;30,1,2))</f>
      </c>
      <c r="J375" s="13">
        <v>3</v>
      </c>
      <c r="K375" s="7" t="s">
        <v>72</v>
      </c>
      <c r="L375" s="7" t="s">
        <v>108</v>
      </c>
      <c r="M375" s="7" t="s">
        <v>185</v>
      </c>
      <c r="N375" s="7" t="s">
        <v>38</v>
      </c>
      <c r="O375" s="7" t="s">
        <v>63</v>
      </c>
      <c r="P375" s="7" t="s">
        <v>81</v>
      </c>
      <c r="Q375" s="10">
        <f>IF(P375="None of the above",0,2)</f>
      </c>
      <c r="R375" s="7" t="s">
        <v>56</v>
      </c>
      <c r="S375" s="7" t="s">
        <v>42</v>
      </c>
      <c r="T375" s="7" t="s">
        <v>96</v>
      </c>
      <c r="U375" s="10">
        <f>IF(T375="Heavy physical",0,IF(T375="Moderate activity",1,2))</f>
      </c>
      <c r="V375" s="5" t="s">
        <v>57</v>
      </c>
      <c r="W375" s="10">
        <f>IF(V375="7–8 hours",0,IF(V375="6–7 hours",1,2))</f>
      </c>
      <c r="X375" s="7" t="s">
        <v>45</v>
      </c>
      <c r="Y375" s="7" t="s">
        <v>58</v>
      </c>
      <c r="Z375" s="7" t="s">
        <v>47</v>
      </c>
      <c r="AA375" s="7" t="s">
        <v>42</v>
      </c>
      <c r="AB375" s="7" t="s">
        <v>42</v>
      </c>
      <c r="AC375" s="7" t="s">
        <v>42</v>
      </c>
      <c r="AD375" s="10">
        <f>I375 + Q375 + U375 + W375</f>
      </c>
      <c r="AE375" s="10">
        <f>IF(AD375&lt;=2,0,IF(AD375&lt;=5,1,2))</f>
      </c>
      <c r="AF375" s="7"/>
    </row>
    <row x14ac:dyDescent="0.25" r="376" customHeight="1" ht="17.25" hidden="1">
      <c r="A376" s="7" t="s">
        <v>49</v>
      </c>
      <c r="B376" s="7" t="s">
        <v>32</v>
      </c>
      <c r="C376" s="7" t="s">
        <v>141</v>
      </c>
      <c r="D376" s="10">
        <v>6</v>
      </c>
      <c r="E376" s="7" t="s">
        <v>34</v>
      </c>
      <c r="F376" s="10">
        <v>146</v>
      </c>
      <c r="G376" s="11">
        <v>102</v>
      </c>
      <c r="H376" s="12">
        <f>G376/((F376/100)*(F376/100))</f>
      </c>
      <c r="I376" s="11">
        <f>IF(H376&lt;25,0,IF(H376&lt;30,1,2))</f>
      </c>
      <c r="J376" s="13">
        <v>1</v>
      </c>
      <c r="K376" s="7" t="s">
        <v>86</v>
      </c>
      <c r="L376" s="7" t="s">
        <v>91</v>
      </c>
      <c r="M376" s="7" t="s">
        <v>185</v>
      </c>
      <c r="N376" s="7" t="s">
        <v>38</v>
      </c>
      <c r="O376" s="7" t="s">
        <v>63</v>
      </c>
      <c r="P376" s="7" t="s">
        <v>40</v>
      </c>
      <c r="Q376" s="10">
        <f>IF(P376="None of the above",0,2)</f>
      </c>
      <c r="R376" s="7" t="s">
        <v>56</v>
      </c>
      <c r="S376" s="15" t="s">
        <v>42</v>
      </c>
      <c r="T376" s="7" t="s">
        <v>96</v>
      </c>
      <c r="U376" s="10">
        <f>IF(T376="Heavy physical",0,IF(T376="Moderate activity",1,2))</f>
      </c>
      <c r="V376" s="5" t="s">
        <v>57</v>
      </c>
      <c r="W376" s="10">
        <f>IF(V376="7–8 hours",0,IF(V376="6–7 hours",1,2))</f>
      </c>
      <c r="X376" s="7" t="s">
        <v>45</v>
      </c>
      <c r="Y376" s="7" t="s">
        <v>58</v>
      </c>
      <c r="Z376" s="7" t="s">
        <v>45</v>
      </c>
      <c r="AA376" s="7" t="s">
        <v>48</v>
      </c>
      <c r="AB376" s="7" t="s">
        <v>48</v>
      </c>
      <c r="AC376" s="7" t="s">
        <v>48</v>
      </c>
      <c r="AD376" s="10">
        <f>I376 + Q376 + U376 + W376</f>
      </c>
      <c r="AE376" s="10">
        <f>IF(AD376&lt;=2,0,IF(AD376&lt;=5,1,2))</f>
      </c>
      <c r="AF376" s="7"/>
    </row>
    <row x14ac:dyDescent="0.25" r="377" customHeight="1" ht="17.25" hidden="1">
      <c r="A377" s="7" t="s">
        <v>31</v>
      </c>
      <c r="B377" s="7" t="s">
        <v>32</v>
      </c>
      <c r="C377" s="7" t="s">
        <v>33</v>
      </c>
      <c r="D377" s="10">
        <v>6</v>
      </c>
      <c r="E377" s="7" t="s">
        <v>34</v>
      </c>
      <c r="F377" s="10">
        <v>170</v>
      </c>
      <c r="G377" s="11">
        <v>55</v>
      </c>
      <c r="H377" s="12">
        <f>G377/((F377/100)*(F377/100))</f>
      </c>
      <c r="I377" s="11">
        <f>IF(H377&lt;25,0,IF(H377&lt;30,1,2))</f>
      </c>
      <c r="J377" s="13">
        <v>3</v>
      </c>
      <c r="K377" s="7" t="s">
        <v>105</v>
      </c>
      <c r="L377" s="7" t="s">
        <v>135</v>
      </c>
      <c r="M377" s="7" t="s">
        <v>54</v>
      </c>
      <c r="N377" s="7" t="s">
        <v>38</v>
      </c>
      <c r="O377" s="7" t="s">
        <v>39</v>
      </c>
      <c r="P377" s="7" t="s">
        <v>81</v>
      </c>
      <c r="Q377" s="10">
        <f>IF(P377="None of the above",0,2)</f>
      </c>
      <c r="R377" s="7" t="s">
        <v>56</v>
      </c>
      <c r="S377" s="15" t="s">
        <v>48</v>
      </c>
      <c r="T377" s="7" t="s">
        <v>96</v>
      </c>
      <c r="U377" s="10">
        <f>IF(T377="Heavy physical",0,IF(T377="Moderate activity",1,2))</f>
      </c>
      <c r="V377" s="5" t="s">
        <v>97</v>
      </c>
      <c r="W377" s="10">
        <f>IF(V377="7–8 hours",0,IF(V377="6–7 hours",1,2))</f>
      </c>
      <c r="X377" s="7" t="s">
        <v>45</v>
      </c>
      <c r="Y377" s="15" t="s">
        <v>75</v>
      </c>
      <c r="Z377" s="7" t="s">
        <v>92</v>
      </c>
      <c r="AA377" s="7" t="s">
        <v>48</v>
      </c>
      <c r="AB377" s="7" t="s">
        <v>42</v>
      </c>
      <c r="AC377" s="7" t="s">
        <v>42</v>
      </c>
      <c r="AD377" s="10">
        <f>I377 + Q377 + U377 + W377</f>
      </c>
      <c r="AE377" s="10">
        <f>IF(AD377&lt;=2,0,IF(AD377&lt;=5,1,2))</f>
      </c>
      <c r="AF377" s="7"/>
    </row>
    <row x14ac:dyDescent="0.25" r="378" customHeight="1" ht="17.25" hidden="1">
      <c r="A378" s="7" t="s">
        <v>49</v>
      </c>
      <c r="B378" s="7" t="s">
        <v>66</v>
      </c>
      <c r="C378" s="7" t="s">
        <v>141</v>
      </c>
      <c r="D378" s="10">
        <v>1</v>
      </c>
      <c r="E378" s="7" t="s">
        <v>51</v>
      </c>
      <c r="F378" s="10">
        <v>152</v>
      </c>
      <c r="G378" s="11">
        <v>70</v>
      </c>
      <c r="H378" s="12">
        <f>G378/((F378/100)*(F378/100))</f>
      </c>
      <c r="I378" s="11">
        <f>IF(H378&lt;25,0,IF(H378&lt;30,1,2))</f>
      </c>
      <c r="J378" s="13">
        <v>2</v>
      </c>
      <c r="K378" s="7" t="s">
        <v>86</v>
      </c>
      <c r="L378" s="7" t="s">
        <v>100</v>
      </c>
      <c r="M378" s="7" t="s">
        <v>54</v>
      </c>
      <c r="N378" s="7" t="s">
        <v>38</v>
      </c>
      <c r="O378" s="7" t="s">
        <v>80</v>
      </c>
      <c r="P378" s="7" t="s">
        <v>81</v>
      </c>
      <c r="Q378" s="10">
        <f>IF(P378="None of the above",0,2)</f>
      </c>
      <c r="R378" s="7" t="s">
        <v>56</v>
      </c>
      <c r="S378" s="15" t="s">
        <v>42</v>
      </c>
      <c r="T378" s="7" t="s">
        <v>99</v>
      </c>
      <c r="U378" s="10">
        <f>IF(T378="Heavy physical",0,IF(T378="Moderate activity",1,2))</f>
      </c>
      <c r="V378" s="5" t="s">
        <v>57</v>
      </c>
      <c r="W378" s="10">
        <f>IF(V378="7–8 hours",0,IF(V378="6–7 hours",1,2))</f>
      </c>
      <c r="X378" s="7" t="s">
        <v>102</v>
      </c>
      <c r="Y378" s="15" t="s">
        <v>75</v>
      </c>
      <c r="Z378" s="7" t="s">
        <v>47</v>
      </c>
      <c r="AA378" s="7" t="s">
        <v>42</v>
      </c>
      <c r="AB378" s="7" t="s">
        <v>42</v>
      </c>
      <c r="AC378" s="7" t="s">
        <v>42</v>
      </c>
      <c r="AD378" s="10">
        <f>I378 + Q378 + U378 + W378</f>
      </c>
      <c r="AE378" s="10">
        <f>IF(AD378&lt;=2,0,IF(AD378&lt;=5,1,2))</f>
      </c>
      <c r="AF378" s="7"/>
    </row>
    <row x14ac:dyDescent="0.25" r="379" customHeight="1" ht="17.25" hidden="1">
      <c r="A379" s="7" t="s">
        <v>76</v>
      </c>
      <c r="B379" s="7" t="s">
        <v>77</v>
      </c>
      <c r="C379" s="7" t="s">
        <v>110</v>
      </c>
      <c r="D379" s="10">
        <v>4</v>
      </c>
      <c r="E379" s="7" t="s">
        <v>34</v>
      </c>
      <c r="F379" s="10">
        <v>141</v>
      </c>
      <c r="G379" s="11">
        <v>93</v>
      </c>
      <c r="H379" s="12">
        <f>G379/((F379/100)*(F379/100))</f>
      </c>
      <c r="I379" s="11">
        <f>IF(H379&lt;25,0,IF(H379&lt;30,1,2))</f>
      </c>
      <c r="J379" s="13">
        <v>3</v>
      </c>
      <c r="K379" s="7" t="s">
        <v>72</v>
      </c>
      <c r="L379" s="7" t="s">
        <v>133</v>
      </c>
      <c r="M379" s="7" t="s">
        <v>185</v>
      </c>
      <c r="N379" s="7" t="s">
        <v>38</v>
      </c>
      <c r="O379" s="7" t="s">
        <v>80</v>
      </c>
      <c r="P379" s="7" t="s">
        <v>40</v>
      </c>
      <c r="Q379" s="10">
        <f>IF(P379="None of the above",0,2)</f>
      </c>
      <c r="R379" s="7" t="s">
        <v>56</v>
      </c>
      <c r="S379" s="15" t="s">
        <v>42</v>
      </c>
      <c r="T379" s="7" t="s">
        <v>96</v>
      </c>
      <c r="U379" s="10">
        <f>IF(T379="Heavy physical",0,IF(T379="Moderate activity",1,2))</f>
      </c>
      <c r="V379" s="5" t="s">
        <v>44</v>
      </c>
      <c r="W379" s="10">
        <f>IF(V379="7–8 hours",0,IF(V379="6–7 hours",1,2))</f>
      </c>
      <c r="X379" s="7" t="s">
        <v>70</v>
      </c>
      <c r="Y379" s="15" t="s">
        <v>64</v>
      </c>
      <c r="Z379" s="7" t="s">
        <v>65</v>
      </c>
      <c r="AA379" s="7" t="s">
        <v>42</v>
      </c>
      <c r="AB379" s="7" t="s">
        <v>42</v>
      </c>
      <c r="AC379" s="7" t="s">
        <v>42</v>
      </c>
      <c r="AD379" s="10">
        <f>I379 + Q379 + U379 + W379</f>
      </c>
      <c r="AE379" s="10">
        <f>IF(AD379&lt;=2,0,IF(AD379&lt;=5,1,2))</f>
      </c>
      <c r="AF379" s="7"/>
    </row>
    <row x14ac:dyDescent="0.25" r="380" customHeight="1" ht="17.25" hidden="1">
      <c r="A380" s="7" t="s">
        <v>31</v>
      </c>
      <c r="B380" s="7" t="s">
        <v>66</v>
      </c>
      <c r="C380" s="7" t="s">
        <v>110</v>
      </c>
      <c r="D380" s="10">
        <v>5</v>
      </c>
      <c r="E380" s="7" t="s">
        <v>51</v>
      </c>
      <c r="F380" s="10">
        <v>159</v>
      </c>
      <c r="G380" s="11">
        <v>80</v>
      </c>
      <c r="H380" s="12">
        <f>G380/((F380/100)*(F380/100))</f>
      </c>
      <c r="I380" s="11">
        <f>IF(H380&lt;25,0,IF(H380&lt;30,1,2))</f>
      </c>
      <c r="J380" s="13">
        <v>3</v>
      </c>
      <c r="K380" s="7" t="s">
        <v>86</v>
      </c>
      <c r="L380" s="7" t="s">
        <v>174</v>
      </c>
      <c r="M380" s="7" t="s">
        <v>41</v>
      </c>
      <c r="N380" s="7" t="s">
        <v>38</v>
      </c>
      <c r="O380" s="7" t="s">
        <v>39</v>
      </c>
      <c r="P380" s="7" t="s">
        <v>81</v>
      </c>
      <c r="Q380" s="10">
        <f>IF(P380="None of the above",0,2)</f>
      </c>
      <c r="R380" s="7" t="s">
        <v>56</v>
      </c>
      <c r="S380" s="15" t="s">
        <v>48</v>
      </c>
      <c r="T380" s="7" t="s">
        <v>96</v>
      </c>
      <c r="U380" s="10">
        <f>IF(T380="Heavy physical",0,IF(T380="Moderate activity",1,2))</f>
      </c>
      <c r="V380" s="5" t="s">
        <v>57</v>
      </c>
      <c r="W380" s="10">
        <f>IF(V380="7–8 hours",0,IF(V380="6–7 hours",1,2))</f>
      </c>
      <c r="X380" s="7" t="s">
        <v>70</v>
      </c>
      <c r="Y380" s="15" t="s">
        <v>64</v>
      </c>
      <c r="Z380" s="7" t="s">
        <v>45</v>
      </c>
      <c r="AA380" s="7" t="s">
        <v>42</v>
      </c>
      <c r="AB380" s="7" t="s">
        <v>42</v>
      </c>
      <c r="AC380" s="7" t="s">
        <v>42</v>
      </c>
      <c r="AD380" s="10">
        <f>I380 + Q380 + U380 + W380</f>
      </c>
      <c r="AE380" s="10">
        <f>IF(AD380&lt;=2,0,IF(AD380&lt;=5,1,2))</f>
      </c>
      <c r="AF380" s="7"/>
    </row>
    <row x14ac:dyDescent="0.25" r="381" customHeight="1" ht="17.25" hidden="1">
      <c r="A381" s="7" t="s">
        <v>49</v>
      </c>
      <c r="B381" s="7" t="s">
        <v>32</v>
      </c>
      <c r="C381" s="7" t="s">
        <v>120</v>
      </c>
      <c r="D381" s="10">
        <v>5</v>
      </c>
      <c r="E381" s="7" t="s">
        <v>51</v>
      </c>
      <c r="F381" s="10">
        <v>162</v>
      </c>
      <c r="G381" s="11">
        <v>74</v>
      </c>
      <c r="H381" s="12">
        <f>G381/((F381/100)*(F381/100))</f>
      </c>
      <c r="I381" s="11">
        <f>IF(H381&lt;25,0,IF(H381&lt;30,1,2))</f>
      </c>
      <c r="J381" s="13">
        <v>3</v>
      </c>
      <c r="K381" s="7" t="s">
        <v>35</v>
      </c>
      <c r="L381" s="7" t="s">
        <v>147</v>
      </c>
      <c r="M381" s="7" t="s">
        <v>215</v>
      </c>
      <c r="N381" s="7" t="s">
        <v>38</v>
      </c>
      <c r="O381" s="7" t="s">
        <v>39</v>
      </c>
      <c r="P381" s="7" t="s">
        <v>81</v>
      </c>
      <c r="Q381" s="10">
        <f>IF(P381="None of the above",0,2)</f>
      </c>
      <c r="R381" s="7" t="s">
        <v>56</v>
      </c>
      <c r="S381" s="15" t="s">
        <v>48</v>
      </c>
      <c r="T381" s="7" t="s">
        <v>96</v>
      </c>
      <c r="U381" s="10">
        <f>IF(T381="Heavy physical",0,IF(T381="Moderate activity",1,2))</f>
      </c>
      <c r="V381" s="5" t="s">
        <v>57</v>
      </c>
      <c r="W381" s="10">
        <f>IF(V381="7–8 hours",0,IF(V381="6–7 hours",1,2))</f>
      </c>
      <c r="X381" s="7" t="s">
        <v>102</v>
      </c>
      <c r="Y381" s="15" t="s">
        <v>64</v>
      </c>
      <c r="Z381" s="7" t="s">
        <v>47</v>
      </c>
      <c r="AA381" s="7" t="s">
        <v>42</v>
      </c>
      <c r="AB381" s="7" t="s">
        <v>42</v>
      </c>
      <c r="AC381" s="7" t="s">
        <v>42</v>
      </c>
      <c r="AD381" s="10">
        <f>I381 + Q381 + U381 + W381</f>
      </c>
      <c r="AE381" s="10">
        <f>IF(AD381&lt;=2,0,IF(AD381&lt;=5,1,2))</f>
      </c>
      <c r="AF381" s="7"/>
    </row>
    <row x14ac:dyDescent="0.25" r="382" customHeight="1" ht="17.25" hidden="1">
      <c r="A382" s="7" t="s">
        <v>149</v>
      </c>
      <c r="B382" s="7" t="s">
        <v>93</v>
      </c>
      <c r="C382" s="7" t="s">
        <v>33</v>
      </c>
      <c r="D382" s="10">
        <v>7</v>
      </c>
      <c r="E382" s="7" t="s">
        <v>34</v>
      </c>
      <c r="F382" s="10">
        <v>145</v>
      </c>
      <c r="G382" s="11">
        <v>79</v>
      </c>
      <c r="H382" s="12">
        <f>G382/((F382/100)*(F382/100))</f>
      </c>
      <c r="I382" s="11">
        <f>IF(H382&lt;25,0,IF(H382&lt;30,1,2))</f>
      </c>
      <c r="J382" s="13">
        <v>3</v>
      </c>
      <c r="K382" s="7" t="s">
        <v>35</v>
      </c>
      <c r="L382" s="7" t="s">
        <v>103</v>
      </c>
      <c r="M382" s="7" t="s">
        <v>185</v>
      </c>
      <c r="N382" s="7" t="s">
        <v>38</v>
      </c>
      <c r="O382" s="7" t="s">
        <v>74</v>
      </c>
      <c r="P382" s="7" t="s">
        <v>40</v>
      </c>
      <c r="Q382" s="10">
        <f>IF(P382="None of the above",0,2)</f>
      </c>
      <c r="R382" s="7" t="s">
        <v>56</v>
      </c>
      <c r="S382" s="15" t="s">
        <v>42</v>
      </c>
      <c r="T382" s="7" t="s">
        <v>99</v>
      </c>
      <c r="U382" s="10">
        <f>IF(T382="Heavy physical",0,IF(T382="Moderate activity",1,2))</f>
      </c>
      <c r="V382" s="5" t="s">
        <v>57</v>
      </c>
      <c r="W382" s="10">
        <f>IF(V382="7–8 hours",0,IF(V382="6–7 hours",1,2))</f>
      </c>
      <c r="X382" s="7" t="s">
        <v>70</v>
      </c>
      <c r="Y382" s="15" t="s">
        <v>64</v>
      </c>
      <c r="Z382" s="7" t="s">
        <v>65</v>
      </c>
      <c r="AA382" s="7" t="s">
        <v>42</v>
      </c>
      <c r="AB382" s="7" t="s">
        <v>42</v>
      </c>
      <c r="AC382" s="7" t="s">
        <v>48</v>
      </c>
      <c r="AD382" s="10">
        <f>I382 + Q382 + U382 + W382</f>
      </c>
      <c r="AE382" s="10">
        <f>IF(AD382&lt;=2,0,IF(AD382&lt;=5,1,2))</f>
      </c>
      <c r="AF382" s="7"/>
    </row>
    <row x14ac:dyDescent="0.25" r="383" customHeight="1" ht="17.25" hidden="1">
      <c r="A383" s="7" t="s">
        <v>31</v>
      </c>
      <c r="B383" s="7" t="s">
        <v>32</v>
      </c>
      <c r="C383" s="7" t="s">
        <v>141</v>
      </c>
      <c r="D383" s="10">
        <v>4</v>
      </c>
      <c r="E383" s="7" t="s">
        <v>34</v>
      </c>
      <c r="F383" s="10">
        <v>196</v>
      </c>
      <c r="G383" s="11">
        <v>102</v>
      </c>
      <c r="H383" s="12">
        <f>G383/((F383/100)*(F383/100))</f>
      </c>
      <c r="I383" s="11">
        <f>IF(H383&lt;25,0,IF(H383&lt;30,1,2))</f>
      </c>
      <c r="J383" s="13">
        <v>3</v>
      </c>
      <c r="K383" s="7" t="s">
        <v>72</v>
      </c>
      <c r="L383" s="7" t="s">
        <v>124</v>
      </c>
      <c r="M383" s="7" t="s">
        <v>215</v>
      </c>
      <c r="N383" s="7" t="s">
        <v>38</v>
      </c>
      <c r="O383" s="7" t="s">
        <v>63</v>
      </c>
      <c r="P383" s="7" t="s">
        <v>81</v>
      </c>
      <c r="Q383" s="10">
        <f>IF(P383="None of the above",0,2)</f>
      </c>
      <c r="R383" s="7" t="s">
        <v>56</v>
      </c>
      <c r="S383" s="15" t="s">
        <v>48</v>
      </c>
      <c r="T383" s="7" t="s">
        <v>96</v>
      </c>
      <c r="U383" s="10">
        <f>IF(T383="Heavy physical",0,IF(T383="Moderate activity",1,2))</f>
      </c>
      <c r="V383" s="5" t="s">
        <v>57</v>
      </c>
      <c r="W383" s="10">
        <f>IF(V383="7–8 hours",0,IF(V383="6–7 hours",1,2))</f>
      </c>
      <c r="X383" s="7" t="s">
        <v>70</v>
      </c>
      <c r="Y383" s="15" t="s">
        <v>64</v>
      </c>
      <c r="Z383" s="7" t="s">
        <v>45</v>
      </c>
      <c r="AA383" s="7" t="s">
        <v>48</v>
      </c>
      <c r="AB383" s="7" t="s">
        <v>42</v>
      </c>
      <c r="AC383" s="7" t="s">
        <v>48</v>
      </c>
      <c r="AD383" s="10">
        <f>I383 + Q383 + U383 + W383</f>
      </c>
      <c r="AE383" s="10">
        <f>IF(AD383&lt;=2,0,IF(AD383&lt;=5,1,2))</f>
      </c>
      <c r="AF383" s="7"/>
    </row>
    <row x14ac:dyDescent="0.25" r="384" customHeight="1" ht="17.25" hidden="1">
      <c r="A384" s="7" t="s">
        <v>49</v>
      </c>
      <c r="B384" s="7" t="s">
        <v>59</v>
      </c>
      <c r="C384" s="7" t="s">
        <v>110</v>
      </c>
      <c r="D384" s="10">
        <v>6</v>
      </c>
      <c r="E384" s="7" t="s">
        <v>51</v>
      </c>
      <c r="F384" s="10">
        <v>174</v>
      </c>
      <c r="G384" s="11">
        <v>115</v>
      </c>
      <c r="H384" s="12">
        <f>G384/((F384/100)*(F384/100))</f>
      </c>
      <c r="I384" s="11">
        <f>IF(H384&lt;25,0,IF(H384&lt;30,1,2))</f>
      </c>
      <c r="J384" s="13">
        <v>1</v>
      </c>
      <c r="K384" s="7" t="s">
        <v>52</v>
      </c>
      <c r="L384" s="7" t="s">
        <v>87</v>
      </c>
      <c r="M384" s="7" t="s">
        <v>185</v>
      </c>
      <c r="N384" s="7" t="s">
        <v>38</v>
      </c>
      <c r="O384" s="7" t="s">
        <v>68</v>
      </c>
      <c r="P384" s="7" t="s">
        <v>81</v>
      </c>
      <c r="Q384" s="10">
        <f>IF(P384="None of the above",0,2)</f>
      </c>
      <c r="R384" s="7" t="s">
        <v>56</v>
      </c>
      <c r="S384" s="15" t="s">
        <v>48</v>
      </c>
      <c r="T384" s="7" t="s">
        <v>99</v>
      </c>
      <c r="U384" s="10">
        <f>IF(T384="Heavy physical",0,IF(T384="Moderate activity",1,2))</f>
      </c>
      <c r="V384" s="5" t="s">
        <v>57</v>
      </c>
      <c r="W384" s="10">
        <f>IF(V384="7–8 hours",0,IF(V384="6–7 hours",1,2))</f>
      </c>
      <c r="X384" s="7" t="s">
        <v>70</v>
      </c>
      <c r="Y384" s="15" t="s">
        <v>64</v>
      </c>
      <c r="Z384" s="7" t="s">
        <v>45</v>
      </c>
      <c r="AA384" s="7" t="s">
        <v>42</v>
      </c>
      <c r="AB384" s="7" t="s">
        <v>42</v>
      </c>
      <c r="AC384" s="7" t="s">
        <v>42</v>
      </c>
      <c r="AD384" s="10">
        <f>I384 + Q384 + U384 + W384</f>
      </c>
      <c r="AE384" s="10">
        <f>IF(AD384&lt;=2,0,IF(AD384&lt;=5,1,2))</f>
      </c>
      <c r="AF384" s="7"/>
    </row>
    <row x14ac:dyDescent="0.25" r="385" customHeight="1" ht="17.25" hidden="1">
      <c r="A385" s="7" t="s">
        <v>49</v>
      </c>
      <c r="B385" s="7" t="s">
        <v>71</v>
      </c>
      <c r="C385" s="7" t="s">
        <v>78</v>
      </c>
      <c r="D385" s="10">
        <v>6</v>
      </c>
      <c r="E385" s="7" t="s">
        <v>51</v>
      </c>
      <c r="F385" s="10">
        <v>190</v>
      </c>
      <c r="G385" s="11">
        <v>58</v>
      </c>
      <c r="H385" s="12">
        <f>G385/((F385/100)*(F385/100))</f>
      </c>
      <c r="I385" s="11">
        <f>IF(H385&lt;25,0,IF(H385&lt;30,1,2))</f>
      </c>
      <c r="J385" s="13">
        <v>3</v>
      </c>
      <c r="K385" s="7" t="s">
        <v>52</v>
      </c>
      <c r="L385" s="7" t="s">
        <v>94</v>
      </c>
      <c r="M385" s="7" t="s">
        <v>185</v>
      </c>
      <c r="N385" s="7" t="s">
        <v>38</v>
      </c>
      <c r="O385" s="7" t="s">
        <v>74</v>
      </c>
      <c r="P385" s="7" t="s">
        <v>40</v>
      </c>
      <c r="Q385" s="10">
        <f>IF(P385="None of the above",0,2)</f>
      </c>
      <c r="R385" s="7" t="s">
        <v>56</v>
      </c>
      <c r="S385" s="15" t="s">
        <v>48</v>
      </c>
      <c r="T385" s="7" t="s">
        <v>96</v>
      </c>
      <c r="U385" s="10">
        <f>IF(T385="Heavy physical",0,IF(T385="Moderate activity",1,2))</f>
      </c>
      <c r="V385" s="5" t="s">
        <v>97</v>
      </c>
      <c r="W385" s="10">
        <f>IF(V385="7–8 hours",0,IF(V385="6–7 hours",1,2))</f>
      </c>
      <c r="X385" s="7" t="s">
        <v>45</v>
      </c>
      <c r="Y385" s="15" t="s">
        <v>64</v>
      </c>
      <c r="Z385" s="7" t="s">
        <v>47</v>
      </c>
      <c r="AA385" s="7" t="s">
        <v>42</v>
      </c>
      <c r="AB385" s="7" t="s">
        <v>42</v>
      </c>
      <c r="AC385" s="7" t="s">
        <v>42</v>
      </c>
      <c r="AD385" s="10">
        <f>I385 + Q385 + U385 + W385</f>
      </c>
      <c r="AE385" s="10">
        <f>IF(AD385&lt;=2,0,IF(AD385&lt;=5,1,2))</f>
      </c>
      <c r="AF385" s="7"/>
    </row>
    <row x14ac:dyDescent="0.25" r="386" customHeight="1" ht="17.25" hidden="1">
      <c r="A386" s="7" t="s">
        <v>49</v>
      </c>
      <c r="B386" s="7" t="s">
        <v>66</v>
      </c>
      <c r="C386" s="7" t="s">
        <v>141</v>
      </c>
      <c r="D386" s="10">
        <v>6</v>
      </c>
      <c r="E386" s="7" t="s">
        <v>34</v>
      </c>
      <c r="F386" s="10">
        <v>171</v>
      </c>
      <c r="G386" s="11">
        <v>98</v>
      </c>
      <c r="H386" s="12">
        <f>G386/((F386/100)*(F386/100))</f>
      </c>
      <c r="I386" s="11">
        <f>IF(H386&lt;25,0,IF(H386&lt;30,1,2))</f>
      </c>
      <c r="J386" s="13">
        <v>3</v>
      </c>
      <c r="K386" s="7" t="s">
        <v>35</v>
      </c>
      <c r="L386" s="7" t="s">
        <v>218</v>
      </c>
      <c r="M386" s="7" t="s">
        <v>41</v>
      </c>
      <c r="N386" s="7" t="s">
        <v>38</v>
      </c>
      <c r="O386" s="7" t="s">
        <v>74</v>
      </c>
      <c r="P386" s="7" t="s">
        <v>55</v>
      </c>
      <c r="Q386" s="10">
        <f>IF(P386="None of the above",0,2)</f>
      </c>
      <c r="R386" s="7" t="s">
        <v>56</v>
      </c>
      <c r="S386" s="15" t="s">
        <v>42</v>
      </c>
      <c r="T386" s="7" t="s">
        <v>99</v>
      </c>
      <c r="U386" s="10">
        <f>IF(T386="Heavy physical",0,IF(T386="Moderate activity",1,2))</f>
      </c>
      <c r="V386" s="5" t="s">
        <v>97</v>
      </c>
      <c r="W386" s="10">
        <f>IF(V386="7–8 hours",0,IF(V386="6–7 hours",1,2))</f>
      </c>
      <c r="X386" s="7" t="s">
        <v>45</v>
      </c>
      <c r="Y386" s="7" t="s">
        <v>58</v>
      </c>
      <c r="Z386" s="7" t="s">
        <v>45</v>
      </c>
      <c r="AA386" s="7" t="s">
        <v>48</v>
      </c>
      <c r="AB386" s="7" t="s">
        <v>48</v>
      </c>
      <c r="AC386" s="7" t="s">
        <v>42</v>
      </c>
      <c r="AD386" s="10">
        <f>I386 + Q386 + U386 + W386</f>
      </c>
      <c r="AE386" s="10">
        <f>IF(AD386&lt;=2,0,IF(AD386&lt;=5,1,2))</f>
      </c>
      <c r="AF386" s="7"/>
    </row>
    <row x14ac:dyDescent="0.25" r="387" customHeight="1" ht="17.25" hidden="1">
      <c r="A387" s="7" t="s">
        <v>49</v>
      </c>
      <c r="B387" s="7" t="s">
        <v>71</v>
      </c>
      <c r="C387" s="7" t="s">
        <v>33</v>
      </c>
      <c r="D387" s="10">
        <v>6</v>
      </c>
      <c r="E387" s="7" t="s">
        <v>51</v>
      </c>
      <c r="F387" s="10">
        <v>159</v>
      </c>
      <c r="G387" s="11">
        <v>48</v>
      </c>
      <c r="H387" s="12">
        <f>G387/((F387/100)*(F387/100))</f>
      </c>
      <c r="I387" s="11">
        <f>IF(H387&lt;25,0,IF(H387&lt;30,1,2))</f>
      </c>
      <c r="J387" s="13">
        <v>1</v>
      </c>
      <c r="K387" s="7" t="s">
        <v>105</v>
      </c>
      <c r="L387" s="7" t="s">
        <v>107</v>
      </c>
      <c r="M387" s="7" t="s">
        <v>54</v>
      </c>
      <c r="N387" s="7" t="s">
        <v>38</v>
      </c>
      <c r="O387" s="7" t="s">
        <v>74</v>
      </c>
      <c r="P387" s="7" t="s">
        <v>81</v>
      </c>
      <c r="Q387" s="10">
        <f>IF(P387="None of the above",0,2)</f>
      </c>
      <c r="R387" s="7" t="s">
        <v>56</v>
      </c>
      <c r="S387" s="15" t="s">
        <v>48</v>
      </c>
      <c r="T387" s="7" t="s">
        <v>96</v>
      </c>
      <c r="U387" s="10">
        <f>IF(T387="Heavy physical",0,IF(T387="Moderate activity",1,2))</f>
      </c>
      <c r="V387" s="5" t="s">
        <v>97</v>
      </c>
      <c r="W387" s="10">
        <f>IF(V387="7–8 hours",0,IF(V387="6–7 hours",1,2))</f>
      </c>
      <c r="X387" s="7" t="s">
        <v>102</v>
      </c>
      <c r="Y387" s="15" t="s">
        <v>75</v>
      </c>
      <c r="Z387" s="7" t="s">
        <v>65</v>
      </c>
      <c r="AA387" s="7" t="s">
        <v>42</v>
      </c>
      <c r="AB387" s="7" t="s">
        <v>42</v>
      </c>
      <c r="AC387" s="7" t="s">
        <v>42</v>
      </c>
      <c r="AD387" s="10">
        <f>I387 + Q387 + U387 + W387</f>
      </c>
      <c r="AE387" s="10">
        <f>IF(AD387&lt;=2,0,IF(AD387&lt;=5,1,2))</f>
      </c>
      <c r="AF387" s="7"/>
    </row>
    <row x14ac:dyDescent="0.25" r="388" customHeight="1" ht="17.25" hidden="1">
      <c r="A388" s="7" t="s">
        <v>192</v>
      </c>
      <c r="B388" s="7" t="s">
        <v>77</v>
      </c>
      <c r="C388" s="7" t="s">
        <v>78</v>
      </c>
      <c r="D388" s="10">
        <v>6</v>
      </c>
      <c r="E388" s="7" t="s">
        <v>34</v>
      </c>
      <c r="F388" s="10">
        <v>163</v>
      </c>
      <c r="G388" s="11">
        <v>95</v>
      </c>
      <c r="H388" s="12">
        <f>G388/((F388/100)*(F388/100))</f>
      </c>
      <c r="I388" s="11">
        <f>IF(H388&lt;25,0,IF(H388&lt;30,1,2))</f>
      </c>
      <c r="J388" s="13">
        <v>3</v>
      </c>
      <c r="K388" s="7" t="s">
        <v>105</v>
      </c>
      <c r="L388" s="7" t="s">
        <v>152</v>
      </c>
      <c r="M388" s="7" t="s">
        <v>185</v>
      </c>
      <c r="N388" s="7" t="s">
        <v>38</v>
      </c>
      <c r="O388" s="7" t="s">
        <v>74</v>
      </c>
      <c r="P388" s="7" t="s">
        <v>81</v>
      </c>
      <c r="Q388" s="10">
        <f>IF(P388="None of the above",0,2)</f>
      </c>
      <c r="R388" s="7" t="s">
        <v>56</v>
      </c>
      <c r="S388" s="15" t="s">
        <v>48</v>
      </c>
      <c r="T388" s="7" t="s">
        <v>96</v>
      </c>
      <c r="U388" s="10">
        <f>IF(T388="Heavy physical",0,IF(T388="Moderate activity",1,2))</f>
      </c>
      <c r="V388" s="5" t="s">
        <v>57</v>
      </c>
      <c r="W388" s="10">
        <f>IF(V388="7–8 hours",0,IF(V388="6–7 hours",1,2))</f>
      </c>
      <c r="X388" s="7" t="s">
        <v>102</v>
      </c>
      <c r="Y388" s="7" t="s">
        <v>58</v>
      </c>
      <c r="Z388" s="7" t="s">
        <v>65</v>
      </c>
      <c r="AA388" s="7" t="s">
        <v>42</v>
      </c>
      <c r="AB388" s="7" t="s">
        <v>48</v>
      </c>
      <c r="AC388" s="7" t="s">
        <v>42</v>
      </c>
      <c r="AD388" s="10">
        <f>I388 + Q388 + U388 + W388</f>
      </c>
      <c r="AE388" s="10">
        <f>IF(AD388&lt;=2,0,IF(AD388&lt;=5,1,2))</f>
      </c>
      <c r="AF388" s="7"/>
    </row>
    <row x14ac:dyDescent="0.25" r="389" customHeight="1" ht="17.25" hidden="1">
      <c r="A389" s="7" t="s">
        <v>49</v>
      </c>
      <c r="B389" s="7" t="s">
        <v>66</v>
      </c>
      <c r="C389" s="7" t="s">
        <v>141</v>
      </c>
      <c r="D389" s="10">
        <v>2</v>
      </c>
      <c r="E389" s="7" t="s">
        <v>34</v>
      </c>
      <c r="F389" s="10">
        <v>172</v>
      </c>
      <c r="G389" s="11">
        <v>82</v>
      </c>
      <c r="H389" s="12">
        <f>G389/((F389/100)*(F389/100))</f>
      </c>
      <c r="I389" s="11">
        <f>IF(H389&lt;25,0,IF(H389&lt;30,1,2))</f>
      </c>
      <c r="J389" s="13">
        <v>2</v>
      </c>
      <c r="K389" s="7" t="s">
        <v>86</v>
      </c>
      <c r="L389" s="7" t="s">
        <v>133</v>
      </c>
      <c r="M389" s="7" t="s">
        <v>41</v>
      </c>
      <c r="N389" s="7" t="s">
        <v>38</v>
      </c>
      <c r="O389" s="7" t="s">
        <v>80</v>
      </c>
      <c r="P389" s="15" t="s">
        <v>132</v>
      </c>
      <c r="Q389" s="10">
        <f>IF(P389="None of the above",0,2)</f>
      </c>
      <c r="R389" s="7" t="s">
        <v>56</v>
      </c>
      <c r="S389" s="15" t="s">
        <v>42</v>
      </c>
      <c r="T389" s="7" t="s">
        <v>99</v>
      </c>
      <c r="U389" s="10">
        <f>IF(T389="Heavy physical",0,IF(T389="Moderate activity",1,2))</f>
      </c>
      <c r="V389" s="5" t="s">
        <v>57</v>
      </c>
      <c r="W389" s="10">
        <f>IF(V389="7–8 hours",0,IF(V389="6–7 hours",1,2))</f>
      </c>
      <c r="X389" s="7" t="s">
        <v>45</v>
      </c>
      <c r="Y389" s="15" t="s">
        <v>75</v>
      </c>
      <c r="Z389" s="7" t="s">
        <v>45</v>
      </c>
      <c r="AA389" s="7" t="s">
        <v>48</v>
      </c>
      <c r="AB389" s="7" t="s">
        <v>42</v>
      </c>
      <c r="AC389" s="7" t="s">
        <v>48</v>
      </c>
      <c r="AD389" s="10">
        <f>I389 + Q389 + U389 + W389</f>
      </c>
      <c r="AE389" s="10">
        <f>IF(AD389&lt;=2,0,IF(AD389&lt;=5,1,2))</f>
      </c>
      <c r="AF389" s="7"/>
    </row>
    <row x14ac:dyDescent="0.25" r="390" customHeight="1" ht="17.25" hidden="1">
      <c r="A390" s="7" t="s">
        <v>49</v>
      </c>
      <c r="B390" s="7" t="s">
        <v>84</v>
      </c>
      <c r="C390" s="7" t="s">
        <v>78</v>
      </c>
      <c r="D390" s="10">
        <v>2</v>
      </c>
      <c r="E390" s="7" t="s">
        <v>34</v>
      </c>
      <c r="F390" s="10">
        <v>188</v>
      </c>
      <c r="G390" s="11">
        <v>104</v>
      </c>
      <c r="H390" s="12">
        <f>G390/((F390/100)*(F390/100))</f>
      </c>
      <c r="I390" s="11">
        <f>IF(H390&lt;25,0,IF(H390&lt;30,1,2))</f>
      </c>
      <c r="J390" s="13">
        <v>3</v>
      </c>
      <c r="K390" s="7" t="s">
        <v>86</v>
      </c>
      <c r="L390" s="7" t="s">
        <v>208</v>
      </c>
      <c r="M390" s="7" t="s">
        <v>185</v>
      </c>
      <c r="N390" s="7" t="s">
        <v>38</v>
      </c>
      <c r="O390" s="7" t="s">
        <v>68</v>
      </c>
      <c r="P390" s="7" t="s">
        <v>81</v>
      </c>
      <c r="Q390" s="10">
        <f>IF(P390="None of the above",0,2)</f>
      </c>
      <c r="R390" s="7" t="s">
        <v>56</v>
      </c>
      <c r="S390" s="15" t="s">
        <v>48</v>
      </c>
      <c r="T390" s="7" t="s">
        <v>96</v>
      </c>
      <c r="U390" s="10">
        <f>IF(T390="Heavy physical",0,IF(T390="Moderate activity",1,2))</f>
      </c>
      <c r="V390" s="5" t="s">
        <v>97</v>
      </c>
      <c r="W390" s="10">
        <f>IF(V390="7–8 hours",0,IF(V390="6–7 hours",1,2))</f>
      </c>
      <c r="X390" s="7" t="s">
        <v>102</v>
      </c>
      <c r="Y390" s="15" t="s">
        <v>64</v>
      </c>
      <c r="Z390" s="7" t="s">
        <v>65</v>
      </c>
      <c r="AA390" s="7" t="s">
        <v>48</v>
      </c>
      <c r="AB390" s="7" t="s">
        <v>48</v>
      </c>
      <c r="AC390" s="7" t="s">
        <v>42</v>
      </c>
      <c r="AD390" s="10">
        <f>I390 + Q390 + U390 + W390</f>
      </c>
      <c r="AE390" s="10">
        <f>IF(AD390&lt;=2,0,IF(AD390&lt;=5,1,2))</f>
      </c>
      <c r="AF390" s="7"/>
    </row>
    <row x14ac:dyDescent="0.25" r="391" customHeight="1" ht="17.25" hidden="1">
      <c r="A391" s="7" t="s">
        <v>76</v>
      </c>
      <c r="B391" s="7" t="s">
        <v>93</v>
      </c>
      <c r="C391" s="7" t="s">
        <v>33</v>
      </c>
      <c r="D391" s="10">
        <v>7</v>
      </c>
      <c r="E391" s="7" t="s">
        <v>34</v>
      </c>
      <c r="F391" s="10">
        <v>198</v>
      </c>
      <c r="G391" s="11">
        <v>57</v>
      </c>
      <c r="H391" s="12">
        <f>G391/((F391/100)*(F391/100))</f>
      </c>
      <c r="I391" s="11">
        <f>IF(H391&lt;25,0,IF(H391&lt;30,1,2))</f>
      </c>
      <c r="J391" s="13">
        <v>2</v>
      </c>
      <c r="K391" s="7" t="s">
        <v>52</v>
      </c>
      <c r="L391" s="7" t="s">
        <v>152</v>
      </c>
      <c r="M391" s="7" t="s">
        <v>54</v>
      </c>
      <c r="N391" s="7" t="s">
        <v>38</v>
      </c>
      <c r="O391" s="7" t="s">
        <v>63</v>
      </c>
      <c r="P391" s="7" t="s">
        <v>81</v>
      </c>
      <c r="Q391" s="10">
        <f>IF(P391="None of the above",0,2)</f>
      </c>
      <c r="R391" s="7" t="s">
        <v>56</v>
      </c>
      <c r="S391" s="15" t="s">
        <v>48</v>
      </c>
      <c r="T391" s="7" t="s">
        <v>99</v>
      </c>
      <c r="U391" s="10">
        <f>IF(T391="Heavy physical",0,IF(T391="Moderate activity",1,2))</f>
      </c>
      <c r="V391" s="5" t="s">
        <v>57</v>
      </c>
      <c r="W391" s="10">
        <f>IF(V391="7–8 hours",0,IF(V391="6–7 hours",1,2))</f>
      </c>
      <c r="X391" s="7" t="s">
        <v>83</v>
      </c>
      <c r="Y391" s="15" t="s">
        <v>64</v>
      </c>
      <c r="Z391" s="7" t="s">
        <v>65</v>
      </c>
      <c r="AA391" s="7" t="s">
        <v>48</v>
      </c>
      <c r="AB391" s="7" t="s">
        <v>42</v>
      </c>
      <c r="AC391" s="7" t="s">
        <v>42</v>
      </c>
      <c r="AD391" s="10">
        <f>I391 + Q391 + U391 + W391</f>
      </c>
      <c r="AE391" s="10">
        <f>IF(AD391&lt;=2,0,IF(AD391&lt;=5,1,2))</f>
      </c>
      <c r="AF391" s="7"/>
    </row>
    <row x14ac:dyDescent="0.25" r="392" customHeight="1" ht="17.25" hidden="1">
      <c r="A392" s="7" t="s">
        <v>31</v>
      </c>
      <c r="B392" s="7" t="s">
        <v>71</v>
      </c>
      <c r="C392" s="7" t="s">
        <v>141</v>
      </c>
      <c r="D392" s="10">
        <v>4</v>
      </c>
      <c r="E392" s="7" t="s">
        <v>51</v>
      </c>
      <c r="F392" s="10">
        <v>174</v>
      </c>
      <c r="G392" s="11">
        <v>95</v>
      </c>
      <c r="H392" s="12">
        <f>G392/((F392/100)*(F392/100))</f>
      </c>
      <c r="I392" s="11">
        <f>IF(H392&lt;25,0,IF(H392&lt;30,1,2))</f>
      </c>
      <c r="J392" s="13">
        <v>2</v>
      </c>
      <c r="K392" s="7" t="s">
        <v>105</v>
      </c>
      <c r="L392" s="7" t="s">
        <v>147</v>
      </c>
      <c r="M392" s="7" t="s">
        <v>185</v>
      </c>
      <c r="N392" s="7" t="s">
        <v>38</v>
      </c>
      <c r="O392" s="7" t="s">
        <v>63</v>
      </c>
      <c r="P392" s="7" t="s">
        <v>81</v>
      </c>
      <c r="Q392" s="10">
        <f>IF(P392="None of the above",0,2)</f>
      </c>
      <c r="R392" s="7" t="s">
        <v>56</v>
      </c>
      <c r="S392" s="15" t="s">
        <v>48</v>
      </c>
      <c r="T392" s="7" t="s">
        <v>96</v>
      </c>
      <c r="U392" s="10">
        <f>IF(T392="Heavy physical",0,IF(T392="Moderate activity",1,2))</f>
      </c>
      <c r="V392" s="5" t="s">
        <v>69</v>
      </c>
      <c r="W392" s="10">
        <f>IF(V392="7–8 hours",0,IF(V392="6–7 hours",1,2))</f>
      </c>
      <c r="X392" s="7" t="s">
        <v>83</v>
      </c>
      <c r="Y392" s="7" t="s">
        <v>58</v>
      </c>
      <c r="Z392" s="7" t="s">
        <v>65</v>
      </c>
      <c r="AA392" s="7" t="s">
        <v>42</v>
      </c>
      <c r="AB392" s="7" t="s">
        <v>42</v>
      </c>
      <c r="AC392" s="7" t="s">
        <v>42</v>
      </c>
      <c r="AD392" s="10">
        <f>I392 + Q392 + U392 + W392</f>
      </c>
      <c r="AE392" s="10">
        <f>IF(AD392&lt;=2,0,IF(AD392&lt;=5,1,2))</f>
      </c>
      <c r="AF392" s="7"/>
    </row>
    <row x14ac:dyDescent="0.25" r="393" customHeight="1" ht="17.25" hidden="1">
      <c r="A393" s="7" t="s">
        <v>49</v>
      </c>
      <c r="B393" s="7" t="s">
        <v>32</v>
      </c>
      <c r="C393" s="7" t="s">
        <v>110</v>
      </c>
      <c r="D393" s="10">
        <v>3</v>
      </c>
      <c r="E393" s="7" t="s">
        <v>51</v>
      </c>
      <c r="F393" s="10">
        <v>167</v>
      </c>
      <c r="G393" s="11">
        <v>87</v>
      </c>
      <c r="H393" s="12">
        <f>G393/((F393/100)*(F393/100))</f>
      </c>
      <c r="I393" s="11">
        <f>IF(H393&lt;25,0,IF(H393&lt;30,1,2))</f>
      </c>
      <c r="J393" s="13">
        <v>1</v>
      </c>
      <c r="K393" s="7" t="s">
        <v>61</v>
      </c>
      <c r="L393" s="7" t="s">
        <v>166</v>
      </c>
      <c r="M393" s="7" t="s">
        <v>185</v>
      </c>
      <c r="N393" s="7" t="s">
        <v>38</v>
      </c>
      <c r="O393" s="7" t="s">
        <v>74</v>
      </c>
      <c r="P393" s="7" t="s">
        <v>40</v>
      </c>
      <c r="Q393" s="10">
        <f>IF(P393="None of the above",0,2)</f>
      </c>
      <c r="R393" s="7" t="s">
        <v>56</v>
      </c>
      <c r="S393" s="15" t="s">
        <v>48</v>
      </c>
      <c r="T393" s="7" t="s">
        <v>96</v>
      </c>
      <c r="U393" s="10">
        <f>IF(T393="Heavy physical",0,IF(T393="Moderate activity",1,2))</f>
      </c>
      <c r="V393" s="5" t="s">
        <v>97</v>
      </c>
      <c r="W393" s="10">
        <f>IF(V393="7–8 hours",0,IF(V393="6–7 hours",1,2))</f>
      </c>
      <c r="X393" s="7" t="s">
        <v>102</v>
      </c>
      <c r="Y393" s="15" t="s">
        <v>64</v>
      </c>
      <c r="Z393" s="7" t="s">
        <v>45</v>
      </c>
      <c r="AA393" s="7" t="s">
        <v>42</v>
      </c>
      <c r="AB393" s="7" t="s">
        <v>42</v>
      </c>
      <c r="AC393" s="7" t="s">
        <v>42</v>
      </c>
      <c r="AD393" s="10">
        <f>I393 + Q393 + U393 + W393</f>
      </c>
      <c r="AE393" s="10">
        <f>IF(AD393&lt;=2,0,IF(AD393&lt;=5,1,2))</f>
      </c>
      <c r="AF393" s="7"/>
    </row>
    <row x14ac:dyDescent="0.25" r="394" customHeight="1" ht="17.25" hidden="1">
      <c r="A394" s="7" t="s">
        <v>76</v>
      </c>
      <c r="B394" s="7" t="s">
        <v>93</v>
      </c>
      <c r="C394" s="7" t="s">
        <v>33</v>
      </c>
      <c r="D394" s="10">
        <v>8</v>
      </c>
      <c r="E394" s="7" t="s">
        <v>34</v>
      </c>
      <c r="F394" s="10">
        <v>147</v>
      </c>
      <c r="G394" s="11">
        <v>90</v>
      </c>
      <c r="H394" s="12">
        <f>G394/((F394/100)*(F394/100))</f>
      </c>
      <c r="I394" s="11">
        <f>IF(H394&lt;25,0,IF(H394&lt;30,1,2))</f>
      </c>
      <c r="J394" s="13">
        <v>2</v>
      </c>
      <c r="K394" s="7" t="s">
        <v>86</v>
      </c>
      <c r="L394" s="7" t="s">
        <v>36</v>
      </c>
      <c r="M394" s="7" t="s">
        <v>185</v>
      </c>
      <c r="N394" s="7" t="s">
        <v>38</v>
      </c>
      <c r="O394" s="7" t="s">
        <v>39</v>
      </c>
      <c r="P394" s="7" t="s">
        <v>81</v>
      </c>
      <c r="Q394" s="10">
        <f>IF(P394="None of the above",0,2)</f>
      </c>
      <c r="R394" s="7" t="s">
        <v>56</v>
      </c>
      <c r="S394" s="15" t="s">
        <v>48</v>
      </c>
      <c r="T394" s="7" t="s">
        <v>96</v>
      </c>
      <c r="U394" s="10">
        <f>IF(T394="Heavy physical",0,IF(T394="Moderate activity",1,2))</f>
      </c>
      <c r="V394" s="5" t="s">
        <v>97</v>
      </c>
      <c r="W394" s="10">
        <f>IF(V394="7–8 hours",0,IF(V394="6–7 hours",1,2))</f>
      </c>
      <c r="X394" s="7" t="s">
        <v>102</v>
      </c>
      <c r="Y394" s="15" t="s">
        <v>64</v>
      </c>
      <c r="Z394" s="7" t="s">
        <v>45</v>
      </c>
      <c r="AA394" s="7" t="s">
        <v>48</v>
      </c>
      <c r="AB394" s="7" t="s">
        <v>42</v>
      </c>
      <c r="AC394" s="7" t="s">
        <v>42</v>
      </c>
      <c r="AD394" s="10">
        <f>I394 + Q394 + U394 + W394</f>
      </c>
      <c r="AE394" s="10">
        <f>IF(AD394&lt;=2,0,IF(AD394&lt;=5,1,2))</f>
      </c>
      <c r="AF394" s="7"/>
    </row>
    <row x14ac:dyDescent="0.25" r="395" customHeight="1" ht="17.25" hidden="1">
      <c r="A395" s="7" t="s">
        <v>31</v>
      </c>
      <c r="B395" s="7" t="s">
        <v>71</v>
      </c>
      <c r="C395" s="7" t="s">
        <v>78</v>
      </c>
      <c r="D395" s="10">
        <v>3</v>
      </c>
      <c r="E395" s="7" t="s">
        <v>34</v>
      </c>
      <c r="F395" s="10">
        <v>185</v>
      </c>
      <c r="G395" s="11">
        <v>94</v>
      </c>
      <c r="H395" s="12">
        <f>G395/((F395/100)*(F395/100))</f>
      </c>
      <c r="I395" s="11">
        <f>IF(H395&lt;25,0,IF(H395&lt;30,1,2))</f>
      </c>
      <c r="J395" s="13">
        <v>2</v>
      </c>
      <c r="K395" s="7" t="s">
        <v>35</v>
      </c>
      <c r="L395" s="7" t="s">
        <v>128</v>
      </c>
      <c r="M395" s="7" t="s">
        <v>54</v>
      </c>
      <c r="N395" s="7" t="s">
        <v>38</v>
      </c>
      <c r="O395" s="7" t="s">
        <v>80</v>
      </c>
      <c r="P395" s="7" t="s">
        <v>55</v>
      </c>
      <c r="Q395" s="10">
        <f>IF(P395="None of the above",0,2)</f>
      </c>
      <c r="R395" s="7" t="s">
        <v>56</v>
      </c>
      <c r="S395" s="15" t="s">
        <v>48</v>
      </c>
      <c r="T395" s="7" t="s">
        <v>96</v>
      </c>
      <c r="U395" s="10">
        <f>IF(T395="Heavy physical",0,IF(T395="Moderate activity",1,2))</f>
      </c>
      <c r="V395" s="5" t="s">
        <v>97</v>
      </c>
      <c r="W395" s="10">
        <f>IF(V395="7–8 hours",0,IF(V395="6–7 hours",1,2))</f>
      </c>
      <c r="X395" s="7" t="s">
        <v>102</v>
      </c>
      <c r="Y395" s="7" t="s">
        <v>58</v>
      </c>
      <c r="Z395" s="7" t="s">
        <v>45</v>
      </c>
      <c r="AA395" s="7" t="s">
        <v>48</v>
      </c>
      <c r="AB395" s="7" t="s">
        <v>48</v>
      </c>
      <c r="AC395" s="7" t="s">
        <v>48</v>
      </c>
      <c r="AD395" s="10">
        <f>I395 + Q395 + U395 + W395</f>
      </c>
      <c r="AE395" s="10">
        <f>IF(AD395&lt;=2,0,IF(AD395&lt;=5,1,2))</f>
      </c>
      <c r="AF395" s="7"/>
    </row>
    <row x14ac:dyDescent="0.25" r="396" customHeight="1" ht="17.25" hidden="1">
      <c r="A396" s="7" t="s">
        <v>49</v>
      </c>
      <c r="B396" s="7" t="s">
        <v>66</v>
      </c>
      <c r="C396" s="7" t="s">
        <v>110</v>
      </c>
      <c r="D396" s="10">
        <v>4</v>
      </c>
      <c r="E396" s="7" t="s">
        <v>34</v>
      </c>
      <c r="F396" s="10">
        <v>195</v>
      </c>
      <c r="G396" s="11">
        <v>116</v>
      </c>
      <c r="H396" s="12">
        <f>G396/((F396/100)*(F396/100))</f>
      </c>
      <c r="I396" s="11">
        <f>IF(H396&lt;25,0,IF(H396&lt;30,1,2))</f>
      </c>
      <c r="J396" s="13">
        <v>2</v>
      </c>
      <c r="K396" s="7" t="s">
        <v>105</v>
      </c>
      <c r="L396" s="7" t="s">
        <v>207</v>
      </c>
      <c r="M396" s="7" t="s">
        <v>185</v>
      </c>
      <c r="N396" s="7" t="s">
        <v>38</v>
      </c>
      <c r="O396" s="7" t="s">
        <v>80</v>
      </c>
      <c r="P396" s="7" t="s">
        <v>40</v>
      </c>
      <c r="Q396" s="10">
        <f>IF(P396="None of the above",0,2)</f>
      </c>
      <c r="R396" s="7" t="s">
        <v>56</v>
      </c>
      <c r="S396" s="15" t="s">
        <v>48</v>
      </c>
      <c r="T396" s="7" t="s">
        <v>96</v>
      </c>
      <c r="U396" s="10">
        <f>IF(T396="Heavy physical",0,IF(T396="Moderate activity",1,2))</f>
      </c>
      <c r="V396" s="5" t="s">
        <v>57</v>
      </c>
      <c r="W396" s="10">
        <f>IF(V396="7–8 hours",0,IF(V396="6–7 hours",1,2))</f>
      </c>
      <c r="X396" s="7" t="s">
        <v>83</v>
      </c>
      <c r="Y396" s="7" t="s">
        <v>58</v>
      </c>
      <c r="Z396" s="7" t="s">
        <v>65</v>
      </c>
      <c r="AA396" s="7" t="s">
        <v>48</v>
      </c>
      <c r="AB396" s="7" t="s">
        <v>48</v>
      </c>
      <c r="AC396" s="7" t="s">
        <v>48</v>
      </c>
      <c r="AD396" s="10">
        <f>I396 + Q396 + U396 + W396</f>
      </c>
      <c r="AE396" s="10">
        <f>IF(AD396&lt;=2,0,IF(AD396&lt;=5,1,2))</f>
      </c>
      <c r="AF396" s="7"/>
    </row>
    <row x14ac:dyDescent="0.25" r="397" customHeight="1" ht="17.25" hidden="1">
      <c r="A397" s="7" t="s">
        <v>76</v>
      </c>
      <c r="B397" s="7" t="s">
        <v>93</v>
      </c>
      <c r="C397" s="7" t="s">
        <v>78</v>
      </c>
      <c r="D397" s="10">
        <v>1</v>
      </c>
      <c r="E397" s="7" t="s">
        <v>34</v>
      </c>
      <c r="F397" s="10">
        <v>142</v>
      </c>
      <c r="G397" s="11">
        <v>88</v>
      </c>
      <c r="H397" s="12">
        <f>G397/((F397/100)*(F397/100))</f>
      </c>
      <c r="I397" s="11">
        <f>IF(H397&lt;25,0,IF(H397&lt;30,1,2))</f>
      </c>
      <c r="J397" s="13">
        <v>3</v>
      </c>
      <c r="K397" s="7" t="s">
        <v>72</v>
      </c>
      <c r="L397" s="7" t="s">
        <v>152</v>
      </c>
      <c r="M397" s="7" t="s">
        <v>185</v>
      </c>
      <c r="N397" s="7" t="s">
        <v>38</v>
      </c>
      <c r="O397" s="7" t="s">
        <v>39</v>
      </c>
      <c r="P397" s="7" t="s">
        <v>81</v>
      </c>
      <c r="Q397" s="10">
        <f>IF(P397="None of the above",0,2)</f>
      </c>
      <c r="R397" s="7" t="s">
        <v>56</v>
      </c>
      <c r="S397" s="15" t="s">
        <v>48</v>
      </c>
      <c r="T397" s="7" t="s">
        <v>99</v>
      </c>
      <c r="U397" s="10">
        <f>IF(T397="Heavy physical",0,IF(T397="Moderate activity",1,2))</f>
      </c>
      <c r="V397" s="5" t="s">
        <v>44</v>
      </c>
      <c r="W397" s="10">
        <f>IF(V397="7–8 hours",0,IF(V397="6–7 hours",1,2))</f>
      </c>
      <c r="X397" s="7" t="s">
        <v>83</v>
      </c>
      <c r="Y397" s="7" t="s">
        <v>58</v>
      </c>
      <c r="Z397" s="7" t="s">
        <v>45</v>
      </c>
      <c r="AA397" s="7" t="s">
        <v>42</v>
      </c>
      <c r="AB397" s="7" t="s">
        <v>48</v>
      </c>
      <c r="AC397" s="7" t="s">
        <v>42</v>
      </c>
      <c r="AD397" s="10">
        <f>I397 + Q397 + U397 + W397</f>
      </c>
      <c r="AE397" s="10">
        <f>IF(AD397&lt;=2,0,IF(AD397&lt;=5,1,2))</f>
      </c>
      <c r="AF397" s="7"/>
    </row>
    <row x14ac:dyDescent="0.25" r="398" customHeight="1" ht="17.25" hidden="1">
      <c r="A398" s="7" t="s">
        <v>31</v>
      </c>
      <c r="B398" s="7" t="s">
        <v>71</v>
      </c>
      <c r="C398" s="7" t="s">
        <v>33</v>
      </c>
      <c r="D398" s="10">
        <v>5</v>
      </c>
      <c r="E398" s="7" t="s">
        <v>34</v>
      </c>
      <c r="F398" s="10">
        <v>193</v>
      </c>
      <c r="G398" s="11">
        <v>101</v>
      </c>
      <c r="H398" s="12">
        <f>G398/((F398/100)*(F398/100))</f>
      </c>
      <c r="I398" s="11">
        <f>IF(H398&lt;25,0,IF(H398&lt;30,1,2))</f>
      </c>
      <c r="J398" s="13">
        <v>3</v>
      </c>
      <c r="K398" s="7" t="s">
        <v>61</v>
      </c>
      <c r="L398" s="7" t="s">
        <v>129</v>
      </c>
      <c r="M398" s="7" t="s">
        <v>54</v>
      </c>
      <c r="N398" s="7" t="s">
        <v>38</v>
      </c>
      <c r="O398" s="7" t="s">
        <v>80</v>
      </c>
      <c r="P398" s="7" t="s">
        <v>81</v>
      </c>
      <c r="Q398" s="10">
        <f>IF(P398="None of the above",0,2)</f>
      </c>
      <c r="R398" s="7" t="s">
        <v>56</v>
      </c>
      <c r="S398" s="15" t="s">
        <v>48</v>
      </c>
      <c r="T398" s="7" t="s">
        <v>96</v>
      </c>
      <c r="U398" s="10">
        <f>IF(T398="Heavy physical",0,IF(T398="Moderate activity",1,2))</f>
      </c>
      <c r="V398" s="5" t="s">
        <v>97</v>
      </c>
      <c r="W398" s="10">
        <f>IF(V398="7–8 hours",0,IF(V398="6–7 hours",1,2))</f>
      </c>
      <c r="X398" s="7" t="s">
        <v>70</v>
      </c>
      <c r="Y398" s="15" t="s">
        <v>64</v>
      </c>
      <c r="Z398" s="7" t="s">
        <v>45</v>
      </c>
      <c r="AA398" s="7" t="s">
        <v>48</v>
      </c>
      <c r="AB398" s="7" t="s">
        <v>42</v>
      </c>
      <c r="AC398" s="7" t="s">
        <v>42</v>
      </c>
      <c r="AD398" s="10">
        <f>I398 + Q398 + U398 + W398</f>
      </c>
      <c r="AE398" s="10">
        <f>IF(AD398&lt;=2,0,IF(AD398&lt;=5,1,2))</f>
      </c>
      <c r="AF398" s="7"/>
    </row>
    <row x14ac:dyDescent="0.25" r="399" customHeight="1" ht="17.25" hidden="1">
      <c r="A399" s="7" t="s">
        <v>31</v>
      </c>
      <c r="B399" s="7" t="s">
        <v>93</v>
      </c>
      <c r="C399" s="7" t="s">
        <v>110</v>
      </c>
      <c r="D399" s="10">
        <v>8</v>
      </c>
      <c r="E399" s="7" t="s">
        <v>34</v>
      </c>
      <c r="F399" s="10">
        <v>176</v>
      </c>
      <c r="G399" s="11">
        <v>118</v>
      </c>
      <c r="H399" s="12">
        <f>G399/((F399/100)*(F399/100))</f>
      </c>
      <c r="I399" s="11">
        <f>IF(H399&lt;25,0,IF(H399&lt;30,1,2))</f>
      </c>
      <c r="J399" s="13">
        <v>1</v>
      </c>
      <c r="K399" s="7" t="s">
        <v>72</v>
      </c>
      <c r="L399" s="7" t="s">
        <v>152</v>
      </c>
      <c r="M399" s="7" t="s">
        <v>41</v>
      </c>
      <c r="N399" s="7" t="s">
        <v>38</v>
      </c>
      <c r="O399" s="7" t="s">
        <v>39</v>
      </c>
      <c r="P399" s="7" t="s">
        <v>40</v>
      </c>
      <c r="Q399" s="10">
        <f>IF(P399="None of the above",0,2)</f>
      </c>
      <c r="R399" s="7" t="s">
        <v>56</v>
      </c>
      <c r="S399" s="15" t="s">
        <v>48</v>
      </c>
      <c r="T399" s="7" t="s">
        <v>96</v>
      </c>
      <c r="U399" s="10">
        <f>IF(T399="Heavy physical",0,IF(T399="Moderate activity",1,2))</f>
      </c>
      <c r="V399" s="5" t="s">
        <v>69</v>
      </c>
      <c r="W399" s="10">
        <f>IF(V399="7–8 hours",0,IF(V399="6–7 hours",1,2))</f>
      </c>
      <c r="X399" s="7" t="s">
        <v>102</v>
      </c>
      <c r="Y399" s="7" t="s">
        <v>46</v>
      </c>
      <c r="Z399" s="7" t="s">
        <v>65</v>
      </c>
      <c r="AA399" s="7" t="s">
        <v>42</v>
      </c>
      <c r="AB399" s="7" t="s">
        <v>48</v>
      </c>
      <c r="AC399" s="7" t="s">
        <v>42</v>
      </c>
      <c r="AD399" s="10">
        <f>I399 + Q399 + U399 + W399</f>
      </c>
      <c r="AE399" s="10">
        <f>IF(AD399&lt;=2,0,IF(AD399&lt;=5,1,2))</f>
      </c>
      <c r="AF399" s="7"/>
    </row>
    <row x14ac:dyDescent="0.25" r="400" customHeight="1" ht="17.25" hidden="1">
      <c r="A400" s="7" t="s">
        <v>76</v>
      </c>
      <c r="B400" s="7" t="s">
        <v>71</v>
      </c>
      <c r="C400" s="7" t="s">
        <v>120</v>
      </c>
      <c r="D400" s="10">
        <v>5</v>
      </c>
      <c r="E400" s="7" t="s">
        <v>51</v>
      </c>
      <c r="F400" s="10">
        <v>159</v>
      </c>
      <c r="G400" s="11">
        <v>103</v>
      </c>
      <c r="H400" s="12">
        <f>G400/((F400/100)*(F400/100))</f>
      </c>
      <c r="I400" s="11">
        <f>IF(H400&lt;25,0,IF(H400&lt;30,1,2))</f>
      </c>
      <c r="J400" s="13">
        <v>1</v>
      </c>
      <c r="K400" s="7" t="s">
        <v>61</v>
      </c>
      <c r="L400" s="7" t="s">
        <v>205</v>
      </c>
      <c r="M400" s="7" t="s">
        <v>41</v>
      </c>
      <c r="N400" s="7" t="s">
        <v>38</v>
      </c>
      <c r="O400" s="7" t="s">
        <v>63</v>
      </c>
      <c r="P400" s="7" t="s">
        <v>55</v>
      </c>
      <c r="Q400" s="10">
        <f>IF(P400="None of the above",0,2)</f>
      </c>
      <c r="R400" s="7" t="s">
        <v>56</v>
      </c>
      <c r="S400" s="15" t="s">
        <v>48</v>
      </c>
      <c r="T400" s="7" t="s">
        <v>99</v>
      </c>
      <c r="U400" s="10">
        <f>IF(T400="Heavy physical",0,IF(T400="Moderate activity",1,2))</f>
      </c>
      <c r="V400" s="5" t="s">
        <v>57</v>
      </c>
      <c r="W400" s="10">
        <f>IF(V400="7–8 hours",0,IF(V400="6–7 hours",1,2))</f>
      </c>
      <c r="X400" s="7" t="s">
        <v>102</v>
      </c>
      <c r="Y400" s="15" t="s">
        <v>64</v>
      </c>
      <c r="Z400" s="7" t="s">
        <v>92</v>
      </c>
      <c r="AA400" s="7" t="s">
        <v>42</v>
      </c>
      <c r="AB400" s="7" t="s">
        <v>42</v>
      </c>
      <c r="AC400" s="7" t="s">
        <v>42</v>
      </c>
      <c r="AD400" s="10">
        <f>I400 + Q400 + U400 + W400</f>
      </c>
      <c r="AE400" s="10">
        <f>IF(AD400&lt;=2,0,IF(AD400&lt;=5,1,2))</f>
      </c>
      <c r="AF400" s="7"/>
    </row>
    <row x14ac:dyDescent="0.25" r="401" customHeight="1" ht="17.25" hidden="1">
      <c r="A401" s="7" t="s">
        <v>76</v>
      </c>
      <c r="B401" s="7" t="s">
        <v>32</v>
      </c>
      <c r="C401" s="15" t="s">
        <v>50</v>
      </c>
      <c r="D401" s="10">
        <v>4</v>
      </c>
      <c r="E401" s="7" t="s">
        <v>51</v>
      </c>
      <c r="F401" s="10">
        <v>150</v>
      </c>
      <c r="G401" s="11">
        <v>86</v>
      </c>
      <c r="H401" s="12">
        <f>G401/((F401/100)*(F401/100))</f>
      </c>
      <c r="I401" s="11">
        <f>IF(H401&lt;25,0,IF(H401&lt;30,1,2))</f>
      </c>
      <c r="J401" s="13">
        <v>2</v>
      </c>
      <c r="K401" s="7" t="s">
        <v>72</v>
      </c>
      <c r="L401" s="7" t="s">
        <v>147</v>
      </c>
      <c r="M401" s="7" t="s">
        <v>54</v>
      </c>
      <c r="N401" s="7" t="s">
        <v>38</v>
      </c>
      <c r="O401" s="7" t="s">
        <v>80</v>
      </c>
      <c r="P401" s="7" t="s">
        <v>81</v>
      </c>
      <c r="Q401" s="10">
        <f>IF(P401="None of the above",0,2)</f>
      </c>
      <c r="R401" s="7" t="s">
        <v>56</v>
      </c>
      <c r="S401" s="15" t="s">
        <v>48</v>
      </c>
      <c r="T401" s="7" t="s">
        <v>99</v>
      </c>
      <c r="U401" s="10">
        <f>IF(T401="Heavy physical",0,IF(T401="Moderate activity",1,2))</f>
      </c>
      <c r="V401" s="5" t="s">
        <v>69</v>
      </c>
      <c r="W401" s="10">
        <f>IF(V401="7–8 hours",0,IF(V401="6–7 hours",1,2))</f>
      </c>
      <c r="X401" s="7" t="s">
        <v>45</v>
      </c>
      <c r="Y401" s="7" t="s">
        <v>46</v>
      </c>
      <c r="Z401" s="7" t="s">
        <v>92</v>
      </c>
      <c r="AA401" s="7" t="s">
        <v>42</v>
      </c>
      <c r="AB401" s="7" t="s">
        <v>42</v>
      </c>
      <c r="AC401" s="7" t="s">
        <v>42</v>
      </c>
      <c r="AD401" s="10">
        <f>I401 + Q401 + U401 + W401</f>
      </c>
      <c r="AE401" s="10">
        <f>IF(AD401&lt;=2,0,IF(AD401&lt;=5,1,2))</f>
      </c>
      <c r="AF401" s="7"/>
    </row>
    <row x14ac:dyDescent="0.25" r="402" customHeight="1" ht="17.25" hidden="1">
      <c r="A402" s="7" t="s">
        <v>76</v>
      </c>
      <c r="B402" s="7" t="s">
        <v>59</v>
      </c>
      <c r="C402" s="7" t="s">
        <v>141</v>
      </c>
      <c r="D402" s="10">
        <v>4</v>
      </c>
      <c r="E402" s="7" t="s">
        <v>34</v>
      </c>
      <c r="F402" s="10">
        <v>162</v>
      </c>
      <c r="G402" s="11">
        <v>69</v>
      </c>
      <c r="H402" s="12">
        <f>G402/((F402/100)*(F402/100))</f>
      </c>
      <c r="I402" s="11">
        <f>IF(H402&lt;25,0,IF(H402&lt;30,1,2))</f>
      </c>
      <c r="J402" s="13">
        <v>2</v>
      </c>
      <c r="K402" s="7" t="s">
        <v>86</v>
      </c>
      <c r="L402" s="7" t="s">
        <v>36</v>
      </c>
      <c r="M402" s="7" t="s">
        <v>215</v>
      </c>
      <c r="N402" s="7" t="s">
        <v>38</v>
      </c>
      <c r="O402" s="7" t="s">
        <v>39</v>
      </c>
      <c r="P402" s="7" t="s">
        <v>81</v>
      </c>
      <c r="Q402" s="10">
        <f>IF(P402="None of the above",0,2)</f>
      </c>
      <c r="R402" s="7" t="s">
        <v>56</v>
      </c>
      <c r="S402" s="15" t="s">
        <v>48</v>
      </c>
      <c r="T402" s="7" t="s">
        <v>96</v>
      </c>
      <c r="U402" s="10">
        <f>IF(T402="Heavy physical",0,IF(T402="Moderate activity",1,2))</f>
      </c>
      <c r="V402" s="5" t="s">
        <v>69</v>
      </c>
      <c r="W402" s="10">
        <f>IF(V402="7–8 hours",0,IF(V402="6–7 hours",1,2))</f>
      </c>
      <c r="X402" s="7" t="s">
        <v>70</v>
      </c>
      <c r="Y402" s="15" t="s">
        <v>64</v>
      </c>
      <c r="Z402" s="7" t="s">
        <v>45</v>
      </c>
      <c r="AA402" s="7" t="s">
        <v>42</v>
      </c>
      <c r="AB402" s="7" t="s">
        <v>48</v>
      </c>
      <c r="AC402" s="7" t="s">
        <v>48</v>
      </c>
      <c r="AD402" s="10">
        <f>I402 + Q402 + U402 + W402</f>
      </c>
      <c r="AE402" s="10">
        <f>IF(AD402&lt;=2,0,IF(AD402&lt;=5,1,2))</f>
      </c>
      <c r="AF402" s="7"/>
    </row>
    <row x14ac:dyDescent="0.25" r="403" customHeight="1" ht="17.25" hidden="1">
      <c r="A403" s="7" t="s">
        <v>31</v>
      </c>
      <c r="B403" s="7" t="s">
        <v>77</v>
      </c>
      <c r="C403" s="7" t="s">
        <v>110</v>
      </c>
      <c r="D403" s="10">
        <v>3</v>
      </c>
      <c r="E403" s="7" t="s">
        <v>34</v>
      </c>
      <c r="F403" s="10">
        <v>175</v>
      </c>
      <c r="G403" s="11">
        <v>114</v>
      </c>
      <c r="H403" s="12">
        <f>G403/((F403/100)*(F403/100))</f>
      </c>
      <c r="I403" s="11">
        <f>IF(H403&lt;25,0,IF(H403&lt;30,1,2))</f>
      </c>
      <c r="J403" s="13">
        <v>1</v>
      </c>
      <c r="K403" s="7" t="s">
        <v>86</v>
      </c>
      <c r="L403" s="7" t="s">
        <v>123</v>
      </c>
      <c r="M403" s="7" t="s">
        <v>41</v>
      </c>
      <c r="N403" s="7" t="s">
        <v>38</v>
      </c>
      <c r="O403" s="7" t="s">
        <v>39</v>
      </c>
      <c r="P403" s="7" t="s">
        <v>81</v>
      </c>
      <c r="Q403" s="10">
        <f>IF(P403="None of the above",0,2)</f>
      </c>
      <c r="R403" s="7" t="s">
        <v>56</v>
      </c>
      <c r="S403" s="15" t="s">
        <v>48</v>
      </c>
      <c r="T403" s="7" t="s">
        <v>96</v>
      </c>
      <c r="U403" s="10">
        <f>IF(T403="Heavy physical",0,IF(T403="Moderate activity",1,2))</f>
      </c>
      <c r="V403" s="5" t="s">
        <v>97</v>
      </c>
      <c r="W403" s="10">
        <f>IF(V403="7–8 hours",0,IF(V403="6–7 hours",1,2))</f>
      </c>
      <c r="X403" s="7" t="s">
        <v>70</v>
      </c>
      <c r="Y403" s="15" t="s">
        <v>64</v>
      </c>
      <c r="Z403" s="7" t="s">
        <v>45</v>
      </c>
      <c r="AA403" s="7" t="s">
        <v>48</v>
      </c>
      <c r="AB403" s="7" t="s">
        <v>42</v>
      </c>
      <c r="AC403" s="7" t="s">
        <v>42</v>
      </c>
      <c r="AD403" s="10">
        <f>I403 + Q403 + U403 + W403</f>
      </c>
      <c r="AE403" s="10">
        <f>IF(AD403&lt;=2,0,IF(AD403&lt;=5,1,2))</f>
      </c>
      <c r="AF403" s="7"/>
    </row>
    <row x14ac:dyDescent="0.25" r="404" customHeight="1" ht="17.25" hidden="1">
      <c r="A404" s="7" t="s">
        <v>76</v>
      </c>
      <c r="B404" s="7" t="s">
        <v>66</v>
      </c>
      <c r="C404" s="7" t="s">
        <v>33</v>
      </c>
      <c r="D404" s="10">
        <v>3</v>
      </c>
      <c r="E404" s="7" t="s">
        <v>51</v>
      </c>
      <c r="F404" s="10">
        <v>142</v>
      </c>
      <c r="G404" s="11">
        <v>46</v>
      </c>
      <c r="H404" s="12">
        <f>G404/((F404/100)*(F404/100))</f>
      </c>
      <c r="I404" s="11">
        <f>IF(H404&lt;25,0,IF(H404&lt;30,1,2))</f>
      </c>
      <c r="J404" s="13">
        <v>3</v>
      </c>
      <c r="K404" s="7" t="s">
        <v>86</v>
      </c>
      <c r="L404" s="7" t="s">
        <v>180</v>
      </c>
      <c r="M404" s="7" t="s">
        <v>185</v>
      </c>
      <c r="N404" s="7" t="s">
        <v>38</v>
      </c>
      <c r="O404" s="7" t="s">
        <v>68</v>
      </c>
      <c r="P404" s="7" t="s">
        <v>40</v>
      </c>
      <c r="Q404" s="10">
        <f>IF(P404="None of the above",0,2)</f>
      </c>
      <c r="R404" s="7" t="s">
        <v>56</v>
      </c>
      <c r="S404" s="15" t="s">
        <v>42</v>
      </c>
      <c r="T404" s="7" t="s">
        <v>96</v>
      </c>
      <c r="U404" s="10">
        <f>IF(T404="Heavy physical",0,IF(T404="Moderate activity",1,2))</f>
      </c>
      <c r="V404" s="5" t="s">
        <v>57</v>
      </c>
      <c r="W404" s="10">
        <f>IF(V404="7–8 hours",0,IF(V404="6–7 hours",1,2))</f>
      </c>
      <c r="X404" s="7" t="s">
        <v>102</v>
      </c>
      <c r="Y404" s="7" t="s">
        <v>46</v>
      </c>
      <c r="Z404" s="7" t="s">
        <v>47</v>
      </c>
      <c r="AA404" s="7" t="s">
        <v>42</v>
      </c>
      <c r="AB404" s="7" t="s">
        <v>42</v>
      </c>
      <c r="AC404" s="7" t="s">
        <v>42</v>
      </c>
      <c r="AD404" s="10">
        <f>I404 + Q404 + U404 + W404</f>
      </c>
      <c r="AE404" s="10">
        <f>IF(AD404&lt;=2,0,IF(AD404&lt;=5,1,2))</f>
      </c>
      <c r="AF404" s="7"/>
    </row>
    <row x14ac:dyDescent="0.25" r="405" customHeight="1" ht="17.25" hidden="1">
      <c r="A405" s="7" t="s">
        <v>31</v>
      </c>
      <c r="B405" s="7" t="s">
        <v>84</v>
      </c>
      <c r="C405" s="7" t="s">
        <v>141</v>
      </c>
      <c r="D405" s="10">
        <v>7</v>
      </c>
      <c r="E405" s="7" t="s">
        <v>34</v>
      </c>
      <c r="F405" s="10">
        <v>169</v>
      </c>
      <c r="G405" s="11">
        <v>59</v>
      </c>
      <c r="H405" s="12">
        <f>G405/((F405/100)*(F405/100))</f>
      </c>
      <c r="I405" s="11">
        <f>IF(H405&lt;25,0,IF(H405&lt;30,1,2))</f>
      </c>
      <c r="J405" s="13">
        <v>2</v>
      </c>
      <c r="K405" s="7" t="s">
        <v>61</v>
      </c>
      <c r="L405" s="7" t="s">
        <v>219</v>
      </c>
      <c r="M405" s="7" t="s">
        <v>215</v>
      </c>
      <c r="N405" s="7" t="s">
        <v>38</v>
      </c>
      <c r="O405" s="7" t="s">
        <v>39</v>
      </c>
      <c r="P405" s="7" t="s">
        <v>81</v>
      </c>
      <c r="Q405" s="10">
        <f>IF(P405="None of the above",0,2)</f>
      </c>
      <c r="R405" s="7" t="s">
        <v>56</v>
      </c>
      <c r="S405" s="15" t="s">
        <v>48</v>
      </c>
      <c r="T405" s="7" t="s">
        <v>99</v>
      </c>
      <c r="U405" s="10">
        <f>IF(T405="Heavy physical",0,IF(T405="Moderate activity",1,2))</f>
      </c>
      <c r="V405" s="5" t="s">
        <v>44</v>
      </c>
      <c r="W405" s="10">
        <f>IF(V405="7–8 hours",0,IF(V405="6–7 hours",1,2))</f>
      </c>
      <c r="X405" s="7" t="s">
        <v>70</v>
      </c>
      <c r="Y405" s="15" t="s">
        <v>64</v>
      </c>
      <c r="Z405" s="7" t="s">
        <v>92</v>
      </c>
      <c r="AA405" s="7" t="s">
        <v>42</v>
      </c>
      <c r="AB405" s="7" t="s">
        <v>42</v>
      </c>
      <c r="AC405" s="7" t="s">
        <v>48</v>
      </c>
      <c r="AD405" s="10">
        <f>I405 + Q405 + U405 + W405</f>
      </c>
      <c r="AE405" s="10">
        <f>IF(AD405&lt;=2,0,IF(AD405&lt;=5,1,2))</f>
      </c>
      <c r="AF405" s="7"/>
    </row>
    <row x14ac:dyDescent="0.25" r="406" customHeight="1" ht="17.25" hidden="1">
      <c r="A406" s="7" t="s">
        <v>49</v>
      </c>
      <c r="B406" s="7" t="s">
        <v>59</v>
      </c>
      <c r="C406" s="7" t="s">
        <v>141</v>
      </c>
      <c r="D406" s="10">
        <v>2</v>
      </c>
      <c r="E406" s="7" t="s">
        <v>34</v>
      </c>
      <c r="F406" s="10">
        <v>176</v>
      </c>
      <c r="G406" s="11">
        <v>58</v>
      </c>
      <c r="H406" s="12">
        <f>G406/((F406/100)*(F406/100))</f>
      </c>
      <c r="I406" s="11">
        <f>IF(H406&lt;25,0,IF(H406&lt;30,1,2))</f>
      </c>
      <c r="J406" s="13">
        <v>3</v>
      </c>
      <c r="K406" s="7" t="s">
        <v>105</v>
      </c>
      <c r="L406" s="7" t="s">
        <v>220</v>
      </c>
      <c r="M406" s="7" t="s">
        <v>185</v>
      </c>
      <c r="N406" s="7" t="s">
        <v>38</v>
      </c>
      <c r="O406" s="7" t="s">
        <v>63</v>
      </c>
      <c r="P406" s="7" t="s">
        <v>81</v>
      </c>
      <c r="Q406" s="10">
        <f>IF(P406="None of the above",0,2)</f>
      </c>
      <c r="R406" s="7" t="s">
        <v>56</v>
      </c>
      <c r="S406" s="15" t="s">
        <v>48</v>
      </c>
      <c r="T406" s="7" t="s">
        <v>96</v>
      </c>
      <c r="U406" s="10">
        <f>IF(T406="Heavy physical",0,IF(T406="Moderate activity",1,2))</f>
      </c>
      <c r="V406" s="5" t="s">
        <v>69</v>
      </c>
      <c r="W406" s="10">
        <f>IF(V406="7–8 hours",0,IF(V406="6–7 hours",1,2))</f>
      </c>
      <c r="X406" s="7" t="s">
        <v>45</v>
      </c>
      <c r="Y406" s="15" t="s">
        <v>64</v>
      </c>
      <c r="Z406" s="7" t="s">
        <v>92</v>
      </c>
      <c r="AA406" s="7" t="s">
        <v>48</v>
      </c>
      <c r="AB406" s="7" t="s">
        <v>48</v>
      </c>
      <c r="AC406" s="7" t="s">
        <v>42</v>
      </c>
      <c r="AD406" s="10">
        <f>I406 + Q406 + U406 + W406</f>
      </c>
      <c r="AE406" s="10">
        <f>IF(AD406&lt;=2,0,IF(AD406&lt;=5,1,2))</f>
      </c>
      <c r="AF406" s="7"/>
    </row>
    <row x14ac:dyDescent="0.25" r="407" customHeight="1" ht="17.25" hidden="1">
      <c r="A407" s="7" t="s">
        <v>31</v>
      </c>
      <c r="B407" s="7" t="s">
        <v>66</v>
      </c>
      <c r="C407" s="7" t="s">
        <v>110</v>
      </c>
      <c r="D407" s="10">
        <v>2</v>
      </c>
      <c r="E407" s="7" t="s">
        <v>51</v>
      </c>
      <c r="F407" s="10">
        <v>185</v>
      </c>
      <c r="G407" s="11">
        <v>83</v>
      </c>
      <c r="H407" s="12">
        <f>G407/((F407/100)*(F407/100))</f>
      </c>
      <c r="I407" s="11">
        <f>IF(H407&lt;25,0,IF(H407&lt;30,1,2))</f>
      </c>
      <c r="J407" s="13">
        <v>3</v>
      </c>
      <c r="K407" s="7" t="s">
        <v>52</v>
      </c>
      <c r="L407" s="7" t="s">
        <v>165</v>
      </c>
      <c r="M407" s="7" t="s">
        <v>41</v>
      </c>
      <c r="N407" s="7" t="s">
        <v>38</v>
      </c>
      <c r="O407" s="7" t="s">
        <v>68</v>
      </c>
      <c r="P407" s="7" t="s">
        <v>40</v>
      </c>
      <c r="Q407" s="10">
        <f>IF(P407="None of the above",0,2)</f>
      </c>
      <c r="R407" s="7" t="s">
        <v>56</v>
      </c>
      <c r="S407" s="15" t="s">
        <v>42</v>
      </c>
      <c r="T407" s="7" t="s">
        <v>96</v>
      </c>
      <c r="U407" s="10">
        <f>IF(T407="Heavy physical",0,IF(T407="Moderate activity",1,2))</f>
      </c>
      <c r="V407" s="5" t="s">
        <v>57</v>
      </c>
      <c r="W407" s="10">
        <f>IF(V407="7–8 hours",0,IF(V407="6–7 hours",1,2))</f>
      </c>
      <c r="X407" s="7" t="s">
        <v>83</v>
      </c>
      <c r="Y407" s="7" t="s">
        <v>46</v>
      </c>
      <c r="Z407" s="7" t="s">
        <v>45</v>
      </c>
      <c r="AA407" s="7" t="s">
        <v>42</v>
      </c>
      <c r="AB407" s="7" t="s">
        <v>42</v>
      </c>
      <c r="AC407" s="7" t="s">
        <v>42</v>
      </c>
      <c r="AD407" s="10">
        <f>I407 + Q407 + U407 + W407</f>
      </c>
      <c r="AE407" s="10">
        <f>IF(AD407&lt;=2,0,IF(AD407&lt;=5,1,2))</f>
      </c>
      <c r="AF407" s="7"/>
    </row>
    <row x14ac:dyDescent="0.25" r="408" customHeight="1" ht="17.25" hidden="1">
      <c r="A408" s="7" t="s">
        <v>76</v>
      </c>
      <c r="B408" s="7" t="s">
        <v>66</v>
      </c>
      <c r="C408" s="7" t="s">
        <v>33</v>
      </c>
      <c r="D408" s="10">
        <v>6</v>
      </c>
      <c r="E408" s="7" t="s">
        <v>34</v>
      </c>
      <c r="F408" s="10">
        <v>185</v>
      </c>
      <c r="G408" s="11">
        <v>88</v>
      </c>
      <c r="H408" s="12">
        <f>G408/((F408/100)*(F408/100))</f>
      </c>
      <c r="I408" s="11">
        <f>IF(H408&lt;25,0,IF(H408&lt;30,1,2))</f>
      </c>
      <c r="J408" s="13">
        <v>2</v>
      </c>
      <c r="K408" s="7" t="s">
        <v>35</v>
      </c>
      <c r="L408" s="7" t="s">
        <v>129</v>
      </c>
      <c r="M408" s="7" t="s">
        <v>41</v>
      </c>
      <c r="N408" s="7" t="s">
        <v>38</v>
      </c>
      <c r="O408" s="7" t="s">
        <v>74</v>
      </c>
      <c r="P408" s="7" t="s">
        <v>55</v>
      </c>
      <c r="Q408" s="10">
        <f>IF(P408="None of the above",0,2)</f>
      </c>
      <c r="R408" s="7" t="s">
        <v>56</v>
      </c>
      <c r="S408" s="15" t="s">
        <v>48</v>
      </c>
      <c r="T408" s="7" t="s">
        <v>96</v>
      </c>
      <c r="U408" s="10">
        <f>IF(T408="Heavy physical",0,IF(T408="Moderate activity",1,2))</f>
      </c>
      <c r="V408" s="5" t="s">
        <v>57</v>
      </c>
      <c r="W408" s="10">
        <f>IF(V408="7–8 hours",0,IF(V408="6–7 hours",1,2))</f>
      </c>
      <c r="X408" s="7" t="s">
        <v>45</v>
      </c>
      <c r="Y408" s="15" t="s">
        <v>64</v>
      </c>
      <c r="Z408" s="7" t="s">
        <v>65</v>
      </c>
      <c r="AA408" s="7" t="s">
        <v>48</v>
      </c>
      <c r="AB408" s="7" t="s">
        <v>48</v>
      </c>
      <c r="AC408" s="7" t="s">
        <v>42</v>
      </c>
      <c r="AD408" s="10">
        <f>I408 + Q408 + U408 + W408</f>
      </c>
      <c r="AE408" s="10">
        <f>IF(AD408&lt;=2,0,IF(AD408&lt;=5,1,2))</f>
      </c>
      <c r="AF408" s="7"/>
    </row>
    <row x14ac:dyDescent="0.25" r="409" customHeight="1" ht="17.25" hidden="1">
      <c r="A409" s="7" t="s">
        <v>31</v>
      </c>
      <c r="B409" s="7" t="s">
        <v>93</v>
      </c>
      <c r="C409" s="7" t="s">
        <v>78</v>
      </c>
      <c r="D409" s="10">
        <v>4</v>
      </c>
      <c r="E409" s="7" t="s">
        <v>34</v>
      </c>
      <c r="F409" s="10">
        <v>184</v>
      </c>
      <c r="G409" s="11">
        <v>72</v>
      </c>
      <c r="H409" s="12">
        <f>G409/((F409/100)*(F409/100))</f>
      </c>
      <c r="I409" s="11">
        <f>IF(H409&lt;25,0,IF(H409&lt;30,1,2))</f>
      </c>
      <c r="J409" s="13">
        <v>3</v>
      </c>
      <c r="K409" s="7" t="s">
        <v>86</v>
      </c>
      <c r="L409" s="7" t="s">
        <v>152</v>
      </c>
      <c r="M409" s="7" t="s">
        <v>41</v>
      </c>
      <c r="N409" s="7" t="s">
        <v>38</v>
      </c>
      <c r="O409" s="7" t="s">
        <v>39</v>
      </c>
      <c r="P409" s="7" t="s">
        <v>81</v>
      </c>
      <c r="Q409" s="10">
        <f>IF(P409="None of the above",0,2)</f>
      </c>
      <c r="R409" s="7" t="s">
        <v>56</v>
      </c>
      <c r="S409" s="15" t="s">
        <v>48</v>
      </c>
      <c r="T409" s="7" t="s">
        <v>96</v>
      </c>
      <c r="U409" s="10">
        <f>IF(T409="Heavy physical",0,IF(T409="Moderate activity",1,2))</f>
      </c>
      <c r="V409" s="5" t="s">
        <v>57</v>
      </c>
      <c r="W409" s="10">
        <f>IF(V409="7–8 hours",0,IF(V409="6–7 hours",1,2))</f>
      </c>
      <c r="X409" s="7" t="s">
        <v>70</v>
      </c>
      <c r="Y409" s="7" t="s">
        <v>46</v>
      </c>
      <c r="Z409" s="7" t="s">
        <v>47</v>
      </c>
      <c r="AA409" s="7" t="s">
        <v>48</v>
      </c>
      <c r="AB409" s="7" t="s">
        <v>42</v>
      </c>
      <c r="AC409" s="7" t="s">
        <v>42</v>
      </c>
      <c r="AD409" s="10">
        <f>I409 + Q409 + U409 + W409</f>
      </c>
      <c r="AE409" s="10">
        <f>IF(AD409&lt;=2,0,IF(AD409&lt;=5,1,2))</f>
      </c>
      <c r="AF409" s="7"/>
    </row>
    <row x14ac:dyDescent="0.25" r="410" customHeight="1" ht="17.25" hidden="1">
      <c r="A410" s="7" t="s">
        <v>31</v>
      </c>
      <c r="B410" s="7" t="s">
        <v>84</v>
      </c>
      <c r="C410" s="7" t="s">
        <v>110</v>
      </c>
      <c r="D410" s="10">
        <v>4</v>
      </c>
      <c r="E410" s="7" t="s">
        <v>34</v>
      </c>
      <c r="F410" s="10">
        <v>189</v>
      </c>
      <c r="G410" s="11">
        <v>96</v>
      </c>
      <c r="H410" s="12">
        <f>G410/((F410/100)*(F410/100))</f>
      </c>
      <c r="I410" s="11">
        <f>IF(H410&lt;25,0,IF(H410&lt;30,1,2))</f>
      </c>
      <c r="J410" s="13">
        <v>1</v>
      </c>
      <c r="K410" s="7" t="s">
        <v>72</v>
      </c>
      <c r="L410" s="7" t="s">
        <v>221</v>
      </c>
      <c r="M410" s="7" t="s">
        <v>54</v>
      </c>
      <c r="N410" s="7" t="s">
        <v>38</v>
      </c>
      <c r="O410" s="7" t="s">
        <v>68</v>
      </c>
      <c r="P410" s="7" t="s">
        <v>81</v>
      </c>
      <c r="Q410" s="10">
        <f>IF(P410="None of the above",0,2)</f>
      </c>
      <c r="R410" s="7" t="s">
        <v>56</v>
      </c>
      <c r="S410" s="15" t="s">
        <v>42</v>
      </c>
      <c r="T410" s="7" t="s">
        <v>99</v>
      </c>
      <c r="U410" s="10">
        <f>IF(T410="Heavy physical",0,IF(T410="Moderate activity",1,2))</f>
      </c>
      <c r="V410" s="5" t="s">
        <v>69</v>
      </c>
      <c r="W410" s="10">
        <f>IF(V410="7–8 hours",0,IF(V410="6–7 hours",1,2))</f>
      </c>
      <c r="X410" s="7" t="s">
        <v>83</v>
      </c>
      <c r="Y410" s="15" t="s">
        <v>75</v>
      </c>
      <c r="Z410" s="7" t="s">
        <v>45</v>
      </c>
      <c r="AA410" s="7" t="s">
        <v>42</v>
      </c>
      <c r="AB410" s="7" t="s">
        <v>48</v>
      </c>
      <c r="AC410" s="7" t="s">
        <v>42</v>
      </c>
      <c r="AD410" s="10">
        <f>I410 + Q410 + U410 + W410</f>
      </c>
      <c r="AE410" s="10">
        <f>IF(AD410&lt;=2,0,IF(AD410&lt;=5,1,2))</f>
      </c>
      <c r="AF410" s="7"/>
    </row>
    <row x14ac:dyDescent="0.25" r="411" customHeight="1" ht="17.25" hidden="1">
      <c r="A411" s="7" t="s">
        <v>31</v>
      </c>
      <c r="B411" s="7" t="s">
        <v>32</v>
      </c>
      <c r="C411" s="16" t="s">
        <v>206</v>
      </c>
      <c r="D411" s="10">
        <v>4</v>
      </c>
      <c r="E411" s="7" t="s">
        <v>34</v>
      </c>
      <c r="F411" s="10">
        <v>177</v>
      </c>
      <c r="G411" s="11">
        <v>63</v>
      </c>
      <c r="H411" s="12">
        <f>G411/((F411/100)*(F411/100))</f>
      </c>
      <c r="I411" s="11">
        <f>IF(H411&lt;25,0,IF(H411&lt;30,1,2))</f>
      </c>
      <c r="J411" s="13">
        <v>3</v>
      </c>
      <c r="K411" s="7" t="s">
        <v>105</v>
      </c>
      <c r="L411" s="7" t="s">
        <v>222</v>
      </c>
      <c r="M411" s="7" t="s">
        <v>185</v>
      </c>
      <c r="N411" s="7" t="s">
        <v>38</v>
      </c>
      <c r="O411" s="7" t="s">
        <v>74</v>
      </c>
      <c r="P411" s="15" t="s">
        <v>132</v>
      </c>
      <c r="Q411" s="10">
        <f>IF(P411="None of the above",0,2)</f>
      </c>
      <c r="R411" s="7" t="s">
        <v>56</v>
      </c>
      <c r="S411" s="15" t="s">
        <v>48</v>
      </c>
      <c r="T411" s="7" t="s">
        <v>96</v>
      </c>
      <c r="U411" s="10">
        <f>IF(T411="Heavy physical",0,IF(T411="Moderate activity",1,2))</f>
      </c>
      <c r="V411" s="5" t="s">
        <v>57</v>
      </c>
      <c r="W411" s="10">
        <f>IF(V411="7–8 hours",0,IF(V411="6–7 hours",1,2))</f>
      </c>
      <c r="X411" s="7" t="s">
        <v>70</v>
      </c>
      <c r="Y411" s="15" t="s">
        <v>75</v>
      </c>
      <c r="Z411" s="7" t="s">
        <v>65</v>
      </c>
      <c r="AA411" s="7" t="s">
        <v>48</v>
      </c>
      <c r="AB411" s="7" t="s">
        <v>42</v>
      </c>
      <c r="AC411" s="7" t="s">
        <v>42</v>
      </c>
      <c r="AD411" s="10">
        <f>I411 + Q411 + U411 + W411</f>
      </c>
      <c r="AE411" s="10">
        <f>IF(AD411&lt;=2,0,IF(AD411&lt;=5,1,2))</f>
      </c>
      <c r="AF411" s="7"/>
    </row>
    <row x14ac:dyDescent="0.25" r="412" customHeight="1" ht="17.25" hidden="1">
      <c r="A412" s="7" t="s">
        <v>31</v>
      </c>
      <c r="B412" s="7" t="s">
        <v>93</v>
      </c>
      <c r="C412" s="7" t="s">
        <v>33</v>
      </c>
      <c r="D412" s="10">
        <v>2</v>
      </c>
      <c r="E412" s="7" t="s">
        <v>51</v>
      </c>
      <c r="F412" s="10">
        <v>174</v>
      </c>
      <c r="G412" s="11">
        <v>99</v>
      </c>
      <c r="H412" s="12">
        <f>G412/((F412/100)*(F412/100))</f>
      </c>
      <c r="I412" s="11">
        <f>IF(H412&lt;25,0,IF(H412&lt;30,1,2))</f>
      </c>
      <c r="J412" s="13">
        <v>2</v>
      </c>
      <c r="K412" s="7" t="s">
        <v>86</v>
      </c>
      <c r="L412" s="7" t="s">
        <v>145</v>
      </c>
      <c r="M412" s="7" t="s">
        <v>41</v>
      </c>
      <c r="N412" s="7" t="s">
        <v>38</v>
      </c>
      <c r="O412" s="7" t="s">
        <v>39</v>
      </c>
      <c r="P412" s="7" t="s">
        <v>81</v>
      </c>
      <c r="Q412" s="10">
        <f>IF(P412="None of the above",0,2)</f>
      </c>
      <c r="R412" s="7" t="s">
        <v>56</v>
      </c>
      <c r="S412" s="15" t="s">
        <v>48</v>
      </c>
      <c r="T412" s="7" t="s">
        <v>99</v>
      </c>
      <c r="U412" s="10">
        <f>IF(T412="Heavy physical",0,IF(T412="Moderate activity",1,2))</f>
      </c>
      <c r="V412" s="5" t="s">
        <v>44</v>
      </c>
      <c r="W412" s="10">
        <f>IF(V412="7–8 hours",0,IF(V412="6–7 hours",1,2))</f>
      </c>
      <c r="X412" s="7" t="s">
        <v>83</v>
      </c>
      <c r="Y412" s="7" t="s">
        <v>46</v>
      </c>
      <c r="Z412" s="7" t="s">
        <v>45</v>
      </c>
      <c r="AA412" s="7" t="s">
        <v>42</v>
      </c>
      <c r="AB412" s="7" t="s">
        <v>42</v>
      </c>
      <c r="AC412" s="7" t="s">
        <v>42</v>
      </c>
      <c r="AD412" s="10">
        <f>I412 + Q412 + U412 + W412</f>
      </c>
      <c r="AE412" s="10">
        <f>IF(AD412&lt;=2,0,IF(AD412&lt;=5,1,2))</f>
      </c>
      <c r="AF412" s="7"/>
    </row>
    <row x14ac:dyDescent="0.25" r="413" customHeight="1" ht="17.25" hidden="1">
      <c r="A413" s="7" t="s">
        <v>31</v>
      </c>
      <c r="B413" s="7" t="s">
        <v>93</v>
      </c>
      <c r="C413" s="7" t="s">
        <v>141</v>
      </c>
      <c r="D413" s="10">
        <v>7</v>
      </c>
      <c r="E413" s="7" t="s">
        <v>34</v>
      </c>
      <c r="F413" s="10">
        <v>143</v>
      </c>
      <c r="G413" s="11">
        <v>117</v>
      </c>
      <c r="H413" s="12">
        <f>G413/((F413/100)*(F413/100))</f>
      </c>
      <c r="I413" s="11">
        <f>IF(H413&lt;25,0,IF(H413&lt;30,1,2))</f>
      </c>
      <c r="J413" s="13">
        <v>3</v>
      </c>
      <c r="K413" s="7" t="s">
        <v>35</v>
      </c>
      <c r="L413" s="7" t="s">
        <v>152</v>
      </c>
      <c r="M413" s="7" t="s">
        <v>185</v>
      </c>
      <c r="N413" s="7" t="s">
        <v>38</v>
      </c>
      <c r="O413" s="7" t="s">
        <v>74</v>
      </c>
      <c r="P413" s="7" t="s">
        <v>81</v>
      </c>
      <c r="Q413" s="10">
        <f>IF(P413="None of the above",0,2)</f>
      </c>
      <c r="R413" s="7" t="s">
        <v>56</v>
      </c>
      <c r="S413" s="15" t="s">
        <v>42</v>
      </c>
      <c r="T413" s="7" t="s">
        <v>96</v>
      </c>
      <c r="U413" s="10">
        <f>IF(T413="Heavy physical",0,IF(T413="Moderate activity",1,2))</f>
      </c>
      <c r="V413" s="5" t="s">
        <v>97</v>
      </c>
      <c r="W413" s="10">
        <f>IF(V413="7–8 hours",0,IF(V413="6–7 hours",1,2))</f>
      </c>
      <c r="X413" s="7" t="s">
        <v>45</v>
      </c>
      <c r="Y413" s="15" t="s">
        <v>64</v>
      </c>
      <c r="Z413" s="7" t="s">
        <v>45</v>
      </c>
      <c r="AA413" s="7" t="s">
        <v>42</v>
      </c>
      <c r="AB413" s="7" t="s">
        <v>42</v>
      </c>
      <c r="AC413" s="7" t="s">
        <v>42</v>
      </c>
      <c r="AD413" s="10">
        <f>I413 + Q413 + U413 + W413</f>
      </c>
      <c r="AE413" s="10">
        <f>IF(AD413&lt;=2,0,IF(AD413&lt;=5,1,2))</f>
      </c>
      <c r="AF413" s="7"/>
    </row>
    <row x14ac:dyDescent="0.25" r="414" customHeight="1" ht="17.25" hidden="1">
      <c r="A414" s="7" t="s">
        <v>31</v>
      </c>
      <c r="B414" s="7" t="s">
        <v>84</v>
      </c>
      <c r="C414" s="7" t="s">
        <v>78</v>
      </c>
      <c r="D414" s="10">
        <v>5</v>
      </c>
      <c r="E414" s="7" t="s">
        <v>34</v>
      </c>
      <c r="F414" s="10">
        <v>166</v>
      </c>
      <c r="G414" s="11">
        <v>69</v>
      </c>
      <c r="H414" s="12">
        <f>G414/((F414/100)*(F414/100))</f>
      </c>
      <c r="I414" s="11">
        <f>IF(H414&lt;25,0,IF(H414&lt;30,1,2))</f>
      </c>
      <c r="J414" s="13">
        <v>3</v>
      </c>
      <c r="K414" s="7" t="s">
        <v>86</v>
      </c>
      <c r="L414" s="7" t="s">
        <v>108</v>
      </c>
      <c r="M414" s="7" t="s">
        <v>41</v>
      </c>
      <c r="N414" s="7" t="s">
        <v>38</v>
      </c>
      <c r="O414" s="7" t="s">
        <v>63</v>
      </c>
      <c r="P414" s="7" t="s">
        <v>81</v>
      </c>
      <c r="Q414" s="10">
        <f>IF(P414="None of the above",0,2)</f>
      </c>
      <c r="R414" s="7" t="s">
        <v>56</v>
      </c>
      <c r="S414" s="15" t="s">
        <v>48</v>
      </c>
      <c r="T414" s="7" t="s">
        <v>96</v>
      </c>
      <c r="U414" s="10">
        <f>IF(T414="Heavy physical",0,IF(T414="Moderate activity",1,2))</f>
      </c>
      <c r="V414" s="5" t="s">
        <v>97</v>
      </c>
      <c r="W414" s="10">
        <f>IF(V414="7–8 hours",0,IF(V414="6–7 hours",1,2))</f>
      </c>
      <c r="X414" s="7" t="s">
        <v>45</v>
      </c>
      <c r="Y414" s="7" t="s">
        <v>58</v>
      </c>
      <c r="Z414" s="7" t="s">
        <v>65</v>
      </c>
      <c r="AA414" s="7" t="s">
        <v>48</v>
      </c>
      <c r="AB414" s="7" t="s">
        <v>42</v>
      </c>
      <c r="AC414" s="7" t="s">
        <v>42</v>
      </c>
      <c r="AD414" s="10">
        <f>I414 + Q414 + U414 + W414</f>
      </c>
      <c r="AE414" s="10">
        <f>IF(AD414&lt;=2,0,IF(AD414&lt;=5,1,2))</f>
      </c>
      <c r="AF414" s="7"/>
    </row>
    <row x14ac:dyDescent="0.25" r="415" customHeight="1" ht="17.25" hidden="1">
      <c r="A415" s="7" t="s">
        <v>76</v>
      </c>
      <c r="B415" s="7" t="s">
        <v>32</v>
      </c>
      <c r="C415" s="15" t="s">
        <v>50</v>
      </c>
      <c r="D415" s="10">
        <v>2</v>
      </c>
      <c r="E415" s="7" t="s">
        <v>34</v>
      </c>
      <c r="F415" s="10">
        <v>171</v>
      </c>
      <c r="G415" s="11">
        <v>107</v>
      </c>
      <c r="H415" s="12">
        <f>G415/((F415/100)*(F415/100))</f>
      </c>
      <c r="I415" s="11">
        <f>IF(H415&lt;25,0,IF(H415&lt;30,1,2))</f>
      </c>
      <c r="J415" s="13">
        <v>3</v>
      </c>
      <c r="K415" s="7" t="s">
        <v>61</v>
      </c>
      <c r="L415" s="7" t="s">
        <v>223</v>
      </c>
      <c r="M415" s="7" t="s">
        <v>185</v>
      </c>
      <c r="N415" s="7" t="s">
        <v>38</v>
      </c>
      <c r="O415" s="7" t="s">
        <v>80</v>
      </c>
      <c r="P415" s="7" t="s">
        <v>40</v>
      </c>
      <c r="Q415" s="10">
        <f>IF(P415="None of the above",0,2)</f>
      </c>
      <c r="R415" s="7" t="s">
        <v>56</v>
      </c>
      <c r="S415" s="15" t="s">
        <v>48</v>
      </c>
      <c r="T415" s="7" t="s">
        <v>96</v>
      </c>
      <c r="U415" s="10">
        <f>IF(T415="Heavy physical",0,IF(T415="Moderate activity",1,2))</f>
      </c>
      <c r="V415" s="5" t="s">
        <v>69</v>
      </c>
      <c r="W415" s="10">
        <f>IF(V415="7–8 hours",0,IF(V415="6–7 hours",1,2))</f>
      </c>
      <c r="X415" s="7" t="s">
        <v>70</v>
      </c>
      <c r="Y415" s="7" t="s">
        <v>46</v>
      </c>
      <c r="Z415" s="7" t="s">
        <v>45</v>
      </c>
      <c r="AA415" s="7" t="s">
        <v>48</v>
      </c>
      <c r="AB415" s="7" t="s">
        <v>42</v>
      </c>
      <c r="AC415" s="7" t="s">
        <v>42</v>
      </c>
      <c r="AD415" s="10">
        <f>I415 + Q415 + U415 + W415</f>
      </c>
      <c r="AE415" s="10">
        <f>IF(AD415&lt;=2,0,IF(AD415&lt;=5,1,2))</f>
      </c>
      <c r="AF415" s="7"/>
    </row>
    <row x14ac:dyDescent="0.25" r="416" customHeight="1" ht="17.25" hidden="1">
      <c r="A416" s="7" t="s">
        <v>49</v>
      </c>
      <c r="B416" s="7" t="s">
        <v>32</v>
      </c>
      <c r="C416" s="16" t="s">
        <v>206</v>
      </c>
      <c r="D416" s="10">
        <v>5</v>
      </c>
      <c r="E416" s="7" t="s">
        <v>51</v>
      </c>
      <c r="F416" s="10">
        <v>169</v>
      </c>
      <c r="G416" s="11">
        <v>102</v>
      </c>
      <c r="H416" s="12">
        <f>G416/((F416/100)*(F416/100))</f>
      </c>
      <c r="I416" s="11">
        <f>IF(H416&lt;25,0,IF(H416&lt;30,1,2))</f>
      </c>
      <c r="J416" s="13">
        <v>3</v>
      </c>
      <c r="K416" s="7" t="s">
        <v>86</v>
      </c>
      <c r="L416" s="7" t="s">
        <v>94</v>
      </c>
      <c r="M416" s="7" t="s">
        <v>41</v>
      </c>
      <c r="N416" s="7" t="s">
        <v>38</v>
      </c>
      <c r="O416" s="7" t="s">
        <v>74</v>
      </c>
      <c r="P416" s="7" t="s">
        <v>81</v>
      </c>
      <c r="Q416" s="10">
        <f>IF(P416="None of the above",0,2)</f>
      </c>
      <c r="R416" s="7" t="s">
        <v>56</v>
      </c>
      <c r="S416" s="15" t="s">
        <v>48</v>
      </c>
      <c r="T416" s="7" t="s">
        <v>99</v>
      </c>
      <c r="U416" s="10">
        <f>IF(T416="Heavy physical",0,IF(T416="Moderate activity",1,2))</f>
      </c>
      <c r="V416" s="5" t="s">
        <v>97</v>
      </c>
      <c r="W416" s="10">
        <f>IF(V416="7–8 hours",0,IF(V416="6–7 hours",1,2))</f>
      </c>
      <c r="X416" s="7" t="s">
        <v>102</v>
      </c>
      <c r="Y416" s="7" t="s">
        <v>58</v>
      </c>
      <c r="Z416" s="7" t="s">
        <v>45</v>
      </c>
      <c r="AA416" s="7" t="s">
        <v>42</v>
      </c>
      <c r="AB416" s="7" t="s">
        <v>42</v>
      </c>
      <c r="AC416" s="7" t="s">
        <v>42</v>
      </c>
      <c r="AD416" s="10">
        <f>I416 + Q416 + U416 + W416</f>
      </c>
      <c r="AE416" s="10">
        <f>IF(AD416&lt;=2,0,IF(AD416&lt;=5,1,2))</f>
      </c>
      <c r="AF416" s="7"/>
    </row>
    <row x14ac:dyDescent="0.25" r="417" customHeight="1" ht="17.25" hidden="1">
      <c r="A417" s="7" t="s">
        <v>49</v>
      </c>
      <c r="B417" s="7" t="s">
        <v>71</v>
      </c>
      <c r="C417" s="7" t="s">
        <v>33</v>
      </c>
      <c r="D417" s="10">
        <v>3</v>
      </c>
      <c r="E417" s="7" t="s">
        <v>51</v>
      </c>
      <c r="F417" s="10">
        <v>167</v>
      </c>
      <c r="G417" s="11">
        <v>65</v>
      </c>
      <c r="H417" s="12">
        <f>G417/((F417/100)*(F417/100))</f>
      </c>
      <c r="I417" s="11">
        <f>IF(H417&lt;25,0,IF(H417&lt;30,1,2))</f>
      </c>
      <c r="J417" s="13">
        <v>3</v>
      </c>
      <c r="K417" s="7" t="s">
        <v>86</v>
      </c>
      <c r="L417" s="7" t="s">
        <v>88</v>
      </c>
      <c r="M417" s="7" t="s">
        <v>41</v>
      </c>
      <c r="N417" s="7" t="s">
        <v>38</v>
      </c>
      <c r="O417" s="7" t="s">
        <v>63</v>
      </c>
      <c r="P417" s="7" t="s">
        <v>81</v>
      </c>
      <c r="Q417" s="10">
        <f>IF(P417="None of the above",0,2)</f>
      </c>
      <c r="R417" s="7" t="s">
        <v>56</v>
      </c>
      <c r="S417" s="15" t="s">
        <v>42</v>
      </c>
      <c r="T417" s="7" t="s">
        <v>96</v>
      </c>
      <c r="U417" s="10">
        <f>IF(T417="Heavy physical",0,IF(T417="Moderate activity",1,2))</f>
      </c>
      <c r="V417" s="5" t="s">
        <v>57</v>
      </c>
      <c r="W417" s="10">
        <f>IF(V417="7–8 hours",0,IF(V417="6–7 hours",1,2))</f>
      </c>
      <c r="X417" s="7" t="s">
        <v>45</v>
      </c>
      <c r="Y417" s="7" t="s">
        <v>46</v>
      </c>
      <c r="Z417" s="7" t="s">
        <v>65</v>
      </c>
      <c r="AA417" s="7" t="s">
        <v>42</v>
      </c>
      <c r="AB417" s="7" t="s">
        <v>42</v>
      </c>
      <c r="AC417" s="7" t="s">
        <v>42</v>
      </c>
      <c r="AD417" s="10">
        <f>I417 + Q417 + U417 + W417</f>
      </c>
      <c r="AE417" s="10">
        <f>IF(AD417&lt;=2,0,IF(AD417&lt;=5,1,2))</f>
      </c>
      <c r="AF417" s="7"/>
    </row>
    <row x14ac:dyDescent="0.25" r="418" customHeight="1" ht="17.25" hidden="1">
      <c r="A418" s="7" t="s">
        <v>49</v>
      </c>
      <c r="B418" s="7" t="s">
        <v>71</v>
      </c>
      <c r="C418" s="7" t="s">
        <v>141</v>
      </c>
      <c r="D418" s="10">
        <v>8</v>
      </c>
      <c r="E418" s="7" t="s">
        <v>51</v>
      </c>
      <c r="F418" s="10">
        <v>163</v>
      </c>
      <c r="G418" s="11">
        <v>96</v>
      </c>
      <c r="H418" s="12">
        <f>G418/((F418/100)*(F418/100))</f>
      </c>
      <c r="I418" s="11">
        <f>IF(H418&lt;25,0,IF(H418&lt;30,1,2))</f>
      </c>
      <c r="J418" s="13">
        <v>2</v>
      </c>
      <c r="K418" s="7" t="s">
        <v>35</v>
      </c>
      <c r="L418" s="7" t="s">
        <v>94</v>
      </c>
      <c r="M418" s="7" t="s">
        <v>185</v>
      </c>
      <c r="N418" s="7" t="s">
        <v>38</v>
      </c>
      <c r="O418" s="7" t="s">
        <v>63</v>
      </c>
      <c r="P418" s="7" t="s">
        <v>81</v>
      </c>
      <c r="Q418" s="10">
        <f>IF(P418="None of the above",0,2)</f>
      </c>
      <c r="R418" s="7" t="s">
        <v>56</v>
      </c>
      <c r="S418" s="15" t="s">
        <v>48</v>
      </c>
      <c r="T418" s="7" t="s">
        <v>96</v>
      </c>
      <c r="U418" s="10">
        <f>IF(T418="Heavy physical",0,IF(T418="Moderate activity",1,2))</f>
      </c>
      <c r="V418" s="5" t="s">
        <v>57</v>
      </c>
      <c r="W418" s="10">
        <f>IF(V418="7–8 hours",0,IF(V418="6–7 hours",1,2))</f>
      </c>
      <c r="X418" s="7" t="s">
        <v>102</v>
      </c>
      <c r="Y418" s="7" t="s">
        <v>58</v>
      </c>
      <c r="Z418" s="7" t="s">
        <v>65</v>
      </c>
      <c r="AA418" s="7" t="s">
        <v>42</v>
      </c>
      <c r="AB418" s="7" t="s">
        <v>42</v>
      </c>
      <c r="AC418" s="7" t="s">
        <v>42</v>
      </c>
      <c r="AD418" s="10">
        <f>I418 + Q418 + U418 + W418</f>
      </c>
      <c r="AE418" s="10">
        <f>IF(AD418&lt;=2,0,IF(AD418&lt;=5,1,2))</f>
      </c>
      <c r="AF418" s="7"/>
    </row>
    <row x14ac:dyDescent="0.25" r="419" customHeight="1" ht="17.25" hidden="1">
      <c r="A419" s="7" t="s">
        <v>76</v>
      </c>
      <c r="B419" s="7" t="s">
        <v>77</v>
      </c>
      <c r="C419" s="7" t="s">
        <v>78</v>
      </c>
      <c r="D419" s="10">
        <v>8</v>
      </c>
      <c r="E419" s="7" t="s">
        <v>34</v>
      </c>
      <c r="F419" s="10">
        <v>158</v>
      </c>
      <c r="G419" s="11">
        <v>95</v>
      </c>
      <c r="H419" s="12">
        <f>G419/((F419/100)*(F419/100))</f>
      </c>
      <c r="I419" s="11">
        <f>IF(H419&lt;25,0,IF(H419&lt;30,1,2))</f>
      </c>
      <c r="J419" s="13">
        <v>3</v>
      </c>
      <c r="K419" s="7" t="s">
        <v>52</v>
      </c>
      <c r="L419" s="7" t="s">
        <v>128</v>
      </c>
      <c r="M419" s="7" t="s">
        <v>185</v>
      </c>
      <c r="N419" s="7" t="s">
        <v>38</v>
      </c>
      <c r="O419" s="7" t="s">
        <v>63</v>
      </c>
      <c r="P419" s="7" t="s">
        <v>40</v>
      </c>
      <c r="Q419" s="10">
        <f>IF(P419="None of the above",0,2)</f>
      </c>
      <c r="R419" s="7" t="s">
        <v>56</v>
      </c>
      <c r="S419" s="15" t="s">
        <v>48</v>
      </c>
      <c r="T419" s="7" t="s">
        <v>96</v>
      </c>
      <c r="U419" s="10">
        <f>IF(T419="Heavy physical",0,IF(T419="Moderate activity",1,2))</f>
      </c>
      <c r="V419" s="5" t="s">
        <v>97</v>
      </c>
      <c r="W419" s="10">
        <f>IF(V419="7–8 hours",0,IF(V419="6–7 hours",1,2))</f>
      </c>
      <c r="X419" s="7" t="s">
        <v>102</v>
      </c>
      <c r="Y419" s="7" t="s">
        <v>46</v>
      </c>
      <c r="Z419" s="7" t="s">
        <v>45</v>
      </c>
      <c r="AA419" s="7" t="s">
        <v>48</v>
      </c>
      <c r="AB419" s="7" t="s">
        <v>42</v>
      </c>
      <c r="AC419" s="7" t="s">
        <v>48</v>
      </c>
      <c r="AD419" s="10">
        <f>I419 + Q419 + U419 + W419</f>
      </c>
      <c r="AE419" s="10">
        <f>IF(AD419&lt;=2,0,IF(AD419&lt;=5,1,2))</f>
      </c>
      <c r="AF419" s="7"/>
    </row>
    <row x14ac:dyDescent="0.25" r="420" customHeight="1" ht="17.25" hidden="1">
      <c r="A420" s="7" t="s">
        <v>49</v>
      </c>
      <c r="B420" s="7" t="s">
        <v>59</v>
      </c>
      <c r="C420" s="15" t="s">
        <v>50</v>
      </c>
      <c r="D420" s="10">
        <v>2</v>
      </c>
      <c r="E420" s="7" t="s">
        <v>51</v>
      </c>
      <c r="F420" s="10">
        <v>160</v>
      </c>
      <c r="G420" s="11">
        <v>80</v>
      </c>
      <c r="H420" s="12">
        <f>G420/((F420/100)*(F420/100))</f>
      </c>
      <c r="I420" s="11">
        <f>IF(H420&lt;25,0,IF(H420&lt;30,1,2))</f>
      </c>
      <c r="J420" s="13">
        <v>3</v>
      </c>
      <c r="K420" s="7" t="s">
        <v>35</v>
      </c>
      <c r="L420" s="7" t="s">
        <v>166</v>
      </c>
      <c r="M420" s="7" t="s">
        <v>118</v>
      </c>
      <c r="N420" s="7" t="s">
        <v>38</v>
      </c>
      <c r="O420" s="7" t="s">
        <v>74</v>
      </c>
      <c r="P420" s="7" t="s">
        <v>81</v>
      </c>
      <c r="Q420" s="10">
        <f>IF(P420="None of the above",0,2)</f>
      </c>
      <c r="R420" s="7" t="s">
        <v>56</v>
      </c>
      <c r="S420" s="15" t="s">
        <v>42</v>
      </c>
      <c r="T420" s="7" t="s">
        <v>96</v>
      </c>
      <c r="U420" s="10">
        <f>IF(T420="Heavy physical",0,IF(T420="Moderate activity",1,2))</f>
      </c>
      <c r="V420" s="5" t="s">
        <v>97</v>
      </c>
      <c r="W420" s="10">
        <f>IF(V420="7–8 hours",0,IF(V420="6–7 hours",1,2))</f>
      </c>
      <c r="X420" s="7" t="s">
        <v>45</v>
      </c>
      <c r="Y420" s="15" t="s">
        <v>64</v>
      </c>
      <c r="Z420" s="7" t="s">
        <v>45</v>
      </c>
      <c r="AA420" s="7" t="s">
        <v>42</v>
      </c>
      <c r="AB420" s="7" t="s">
        <v>42</v>
      </c>
      <c r="AC420" s="7" t="s">
        <v>42</v>
      </c>
      <c r="AD420" s="10">
        <f>I420 + Q420 + U420 + W420</f>
      </c>
      <c r="AE420" s="10">
        <f>IF(AD420&lt;=2,0,IF(AD420&lt;=5,1,2))</f>
      </c>
      <c r="AF420" s="7"/>
    </row>
    <row x14ac:dyDescent="0.25" r="421" customHeight="1" ht="17.25" hidden="1">
      <c r="A421" s="7" t="s">
        <v>31</v>
      </c>
      <c r="B421" s="7" t="s">
        <v>59</v>
      </c>
      <c r="C421" s="16" t="s">
        <v>206</v>
      </c>
      <c r="D421" s="10">
        <v>1</v>
      </c>
      <c r="E421" s="7" t="s">
        <v>34</v>
      </c>
      <c r="F421" s="10">
        <v>189</v>
      </c>
      <c r="G421" s="11">
        <v>94</v>
      </c>
      <c r="H421" s="12">
        <f>G421/((F421/100)*(F421/100))</f>
      </c>
      <c r="I421" s="11">
        <f>IF(H421&lt;25,0,IF(H421&lt;30,1,2))</f>
      </c>
      <c r="J421" s="13">
        <v>2</v>
      </c>
      <c r="K421" s="7" t="s">
        <v>86</v>
      </c>
      <c r="L421" s="7" t="s">
        <v>224</v>
      </c>
      <c r="M421" s="7" t="s">
        <v>215</v>
      </c>
      <c r="N421" s="7" t="s">
        <v>38</v>
      </c>
      <c r="O421" s="7" t="s">
        <v>74</v>
      </c>
      <c r="P421" s="7" t="s">
        <v>55</v>
      </c>
      <c r="Q421" s="10">
        <f>IF(P421="None of the above",0,2)</f>
      </c>
      <c r="R421" s="7" t="s">
        <v>56</v>
      </c>
      <c r="S421" s="15" t="s">
        <v>48</v>
      </c>
      <c r="T421" s="7" t="s">
        <v>99</v>
      </c>
      <c r="U421" s="10">
        <f>IF(T421="Heavy physical",0,IF(T421="Moderate activity",1,2))</f>
      </c>
      <c r="V421" s="5" t="s">
        <v>44</v>
      </c>
      <c r="W421" s="10">
        <f>IF(V421="7–8 hours",0,IF(V421="6–7 hours",1,2))</f>
      </c>
      <c r="X421" s="7" t="s">
        <v>83</v>
      </c>
      <c r="Y421" s="7" t="s">
        <v>46</v>
      </c>
      <c r="Z421" s="7" t="s">
        <v>45</v>
      </c>
      <c r="AA421" s="7" t="s">
        <v>42</v>
      </c>
      <c r="AB421" s="7" t="s">
        <v>48</v>
      </c>
      <c r="AC421" s="7" t="s">
        <v>48</v>
      </c>
      <c r="AD421" s="10">
        <f>I421 + Q421 + U421 + W421</f>
      </c>
      <c r="AE421" s="10">
        <f>IF(AD421&lt;=2,0,IF(AD421&lt;=5,1,2))</f>
      </c>
      <c r="AF421" s="7"/>
    </row>
    <row x14ac:dyDescent="0.25" r="422" customHeight="1" ht="17.25" hidden="1">
      <c r="A422" s="7" t="s">
        <v>192</v>
      </c>
      <c r="B422" s="7" t="s">
        <v>59</v>
      </c>
      <c r="C422" s="15" t="s">
        <v>50</v>
      </c>
      <c r="D422" s="10">
        <v>4</v>
      </c>
      <c r="E422" s="7" t="s">
        <v>34</v>
      </c>
      <c r="F422" s="10">
        <v>168</v>
      </c>
      <c r="G422" s="11">
        <v>119</v>
      </c>
      <c r="H422" s="12">
        <f>G422/((F422/100)*(F422/100))</f>
      </c>
      <c r="I422" s="11">
        <f>IF(H422&lt;25,0,IF(H422&lt;30,1,2))</f>
      </c>
      <c r="J422" s="13">
        <v>3</v>
      </c>
      <c r="K422" s="7" t="s">
        <v>86</v>
      </c>
      <c r="L422" s="7" t="s">
        <v>94</v>
      </c>
      <c r="M422" s="7" t="s">
        <v>185</v>
      </c>
      <c r="N422" s="7" t="s">
        <v>38</v>
      </c>
      <c r="O422" s="7" t="s">
        <v>74</v>
      </c>
      <c r="P422" s="7" t="s">
        <v>81</v>
      </c>
      <c r="Q422" s="10">
        <f>IF(P422="None of the above",0,2)</f>
      </c>
      <c r="R422" s="7" t="s">
        <v>56</v>
      </c>
      <c r="S422" s="15" t="s">
        <v>48</v>
      </c>
      <c r="T422" s="7" t="s">
        <v>96</v>
      </c>
      <c r="U422" s="10">
        <f>IF(T422="Heavy physical",0,IF(T422="Moderate activity",1,2))</f>
      </c>
      <c r="V422" s="5" t="s">
        <v>97</v>
      </c>
      <c r="W422" s="10">
        <f>IF(V422="7–8 hours",0,IF(V422="6–7 hours",1,2))</f>
      </c>
      <c r="X422" s="7" t="s">
        <v>70</v>
      </c>
      <c r="Y422" s="15" t="s">
        <v>64</v>
      </c>
      <c r="Z422" s="7" t="s">
        <v>65</v>
      </c>
      <c r="AA422" s="7" t="s">
        <v>42</v>
      </c>
      <c r="AB422" s="7" t="s">
        <v>42</v>
      </c>
      <c r="AC422" s="7" t="s">
        <v>48</v>
      </c>
      <c r="AD422" s="10">
        <f>I422 + Q422 + U422 + W422</f>
      </c>
      <c r="AE422" s="10">
        <f>IF(AD422&lt;=2,0,IF(AD422&lt;=5,1,2))</f>
      </c>
      <c r="AF422" s="7"/>
    </row>
    <row x14ac:dyDescent="0.25" r="423" customHeight="1" ht="17.25" hidden="1">
      <c r="A423" s="7" t="s">
        <v>49</v>
      </c>
      <c r="B423" s="7" t="s">
        <v>93</v>
      </c>
      <c r="C423" s="7" t="s">
        <v>110</v>
      </c>
      <c r="D423" s="10">
        <v>1</v>
      </c>
      <c r="E423" s="7" t="s">
        <v>34</v>
      </c>
      <c r="F423" s="10">
        <v>165</v>
      </c>
      <c r="G423" s="11">
        <v>97</v>
      </c>
      <c r="H423" s="12">
        <f>G423/((F423/100)*(F423/100))</f>
      </c>
      <c r="I423" s="11">
        <f>IF(H423&lt;25,0,IF(H423&lt;30,1,2))</f>
      </c>
      <c r="J423" s="13">
        <v>2</v>
      </c>
      <c r="K423" s="7" t="s">
        <v>72</v>
      </c>
      <c r="L423" s="7" t="s">
        <v>119</v>
      </c>
      <c r="M423" s="7" t="s">
        <v>54</v>
      </c>
      <c r="N423" s="7" t="s">
        <v>38</v>
      </c>
      <c r="O423" s="7" t="s">
        <v>68</v>
      </c>
      <c r="P423" s="7" t="s">
        <v>40</v>
      </c>
      <c r="Q423" s="10">
        <f>IF(P423="None of the above",0,2)</f>
      </c>
      <c r="R423" s="7" t="s">
        <v>56</v>
      </c>
      <c r="S423" s="15" t="s">
        <v>48</v>
      </c>
      <c r="T423" s="7" t="s">
        <v>96</v>
      </c>
      <c r="U423" s="10">
        <f>IF(T423="Heavy physical",0,IF(T423="Moderate activity",1,2))</f>
      </c>
      <c r="V423" s="5" t="s">
        <v>57</v>
      </c>
      <c r="W423" s="10">
        <f>IF(V423="7–8 hours",0,IF(V423="6–7 hours",1,2))</f>
      </c>
      <c r="X423" s="7" t="s">
        <v>70</v>
      </c>
      <c r="Y423" s="7" t="s">
        <v>46</v>
      </c>
      <c r="Z423" s="7" t="s">
        <v>47</v>
      </c>
      <c r="AA423" s="7" t="s">
        <v>42</v>
      </c>
      <c r="AB423" s="7" t="s">
        <v>42</v>
      </c>
      <c r="AC423" s="7" t="s">
        <v>42</v>
      </c>
      <c r="AD423" s="10">
        <f>I423 + Q423 + U423 + W423</f>
      </c>
      <c r="AE423" s="10">
        <f>IF(AD423&lt;=2,0,IF(AD423&lt;=5,1,2))</f>
      </c>
      <c r="AF423" s="7"/>
    </row>
    <row x14ac:dyDescent="0.25" r="424" customHeight="1" ht="17.25" hidden="1">
      <c r="A424" s="7" t="s">
        <v>49</v>
      </c>
      <c r="B424" s="7" t="s">
        <v>59</v>
      </c>
      <c r="C424" s="7" t="s">
        <v>33</v>
      </c>
      <c r="D424" s="10">
        <v>5</v>
      </c>
      <c r="E424" s="7" t="s">
        <v>34</v>
      </c>
      <c r="F424" s="10">
        <v>174</v>
      </c>
      <c r="G424" s="11">
        <v>119</v>
      </c>
      <c r="H424" s="12">
        <f>G424/((F424/100)*(F424/100))</f>
      </c>
      <c r="I424" s="11">
        <f>IF(H424&lt;25,0,IF(H424&lt;30,1,2))</f>
      </c>
      <c r="J424" s="13">
        <v>1</v>
      </c>
      <c r="K424" s="7" t="s">
        <v>52</v>
      </c>
      <c r="L424" s="7" t="s">
        <v>112</v>
      </c>
      <c r="M424" s="7" t="s">
        <v>185</v>
      </c>
      <c r="N424" s="7" t="s">
        <v>38</v>
      </c>
      <c r="O424" s="7" t="s">
        <v>80</v>
      </c>
      <c r="P424" s="7" t="s">
        <v>81</v>
      </c>
      <c r="Q424" s="10">
        <f>IF(P424="None of the above",0,2)</f>
      </c>
      <c r="R424" s="7" t="s">
        <v>56</v>
      </c>
      <c r="S424" s="15" t="s">
        <v>48</v>
      </c>
      <c r="T424" s="7" t="s">
        <v>96</v>
      </c>
      <c r="U424" s="10">
        <f>IF(T424="Heavy physical",0,IF(T424="Moderate activity",1,2))</f>
      </c>
      <c r="V424" s="5" t="s">
        <v>57</v>
      </c>
      <c r="W424" s="10">
        <f>IF(V424="7–8 hours",0,IF(V424="6–7 hours",1,2))</f>
      </c>
      <c r="X424" s="7" t="s">
        <v>45</v>
      </c>
      <c r="Y424" s="15" t="s">
        <v>64</v>
      </c>
      <c r="Z424" s="7" t="s">
        <v>47</v>
      </c>
      <c r="AA424" s="7" t="s">
        <v>42</v>
      </c>
      <c r="AB424" s="7" t="s">
        <v>42</v>
      </c>
      <c r="AC424" s="7" t="s">
        <v>48</v>
      </c>
      <c r="AD424" s="10">
        <f>I424 + Q424 + U424 + W424</f>
      </c>
      <c r="AE424" s="10">
        <f>IF(AD424&lt;=2,0,IF(AD424&lt;=5,1,2))</f>
      </c>
      <c r="AF424" s="7"/>
    </row>
    <row x14ac:dyDescent="0.25" r="425" customHeight="1" ht="17.25" hidden="1">
      <c r="A425" s="7" t="s">
        <v>31</v>
      </c>
      <c r="B425" s="7" t="s">
        <v>32</v>
      </c>
      <c r="C425" s="7" t="s">
        <v>120</v>
      </c>
      <c r="D425" s="10">
        <v>5</v>
      </c>
      <c r="E425" s="7" t="s">
        <v>51</v>
      </c>
      <c r="F425" s="10">
        <v>160</v>
      </c>
      <c r="G425" s="11">
        <v>116</v>
      </c>
      <c r="H425" s="12">
        <f>G425/((F425/100)*(F425/100))</f>
      </c>
      <c r="I425" s="11">
        <f>IF(H425&lt;25,0,IF(H425&lt;30,1,2))</f>
      </c>
      <c r="J425" s="13">
        <v>3</v>
      </c>
      <c r="K425" s="7" t="s">
        <v>105</v>
      </c>
      <c r="L425" s="7" t="s">
        <v>143</v>
      </c>
      <c r="M425" s="7" t="s">
        <v>185</v>
      </c>
      <c r="N425" s="7" t="s">
        <v>38</v>
      </c>
      <c r="O425" s="7" t="s">
        <v>74</v>
      </c>
      <c r="P425" s="7" t="s">
        <v>81</v>
      </c>
      <c r="Q425" s="10">
        <f>IF(P425="None of the above",0,2)</f>
      </c>
      <c r="R425" s="7" t="s">
        <v>56</v>
      </c>
      <c r="S425" s="15" t="s">
        <v>42</v>
      </c>
      <c r="T425" s="7" t="s">
        <v>96</v>
      </c>
      <c r="U425" s="10">
        <f>IF(T425="Heavy physical",0,IF(T425="Moderate activity",1,2))</f>
      </c>
      <c r="V425" s="5" t="s">
        <v>97</v>
      </c>
      <c r="W425" s="10">
        <f>IF(V425="7–8 hours",0,IF(V425="6–7 hours",1,2))</f>
      </c>
      <c r="X425" s="7" t="s">
        <v>45</v>
      </c>
      <c r="Y425" s="7" t="s">
        <v>46</v>
      </c>
      <c r="Z425" s="7" t="s">
        <v>45</v>
      </c>
      <c r="AA425" s="7" t="s">
        <v>42</v>
      </c>
      <c r="AB425" s="7" t="s">
        <v>42</v>
      </c>
      <c r="AC425" s="7" t="s">
        <v>42</v>
      </c>
      <c r="AD425" s="10">
        <f>I425 + Q425 + U425 + W425</f>
      </c>
      <c r="AE425" s="10">
        <f>IF(AD425&lt;=2,0,IF(AD425&lt;=5,1,2))</f>
      </c>
      <c r="AF425" s="7"/>
    </row>
    <row x14ac:dyDescent="0.25" r="426" customHeight="1" ht="17.25" hidden="1">
      <c r="A426" s="7" t="s">
        <v>31</v>
      </c>
      <c r="B426" s="7" t="s">
        <v>59</v>
      </c>
      <c r="C426" s="7" t="s">
        <v>78</v>
      </c>
      <c r="D426" s="10">
        <v>4</v>
      </c>
      <c r="E426" s="7" t="s">
        <v>34</v>
      </c>
      <c r="F426" s="10">
        <v>195</v>
      </c>
      <c r="G426" s="11">
        <v>47</v>
      </c>
      <c r="H426" s="12">
        <f>G426/((F426/100)*(F426/100))</f>
      </c>
      <c r="I426" s="11">
        <f>IF(H426&lt;25,0,IF(H426&lt;30,1,2))</f>
      </c>
      <c r="J426" s="13">
        <v>1</v>
      </c>
      <c r="K426" s="7" t="s">
        <v>72</v>
      </c>
      <c r="L426" s="7" t="s">
        <v>36</v>
      </c>
      <c r="M426" s="7" t="s">
        <v>54</v>
      </c>
      <c r="N426" s="7" t="s">
        <v>38</v>
      </c>
      <c r="O426" s="7" t="s">
        <v>39</v>
      </c>
      <c r="P426" s="7" t="s">
        <v>81</v>
      </c>
      <c r="Q426" s="10">
        <f>IF(P426="None of the above",0,2)</f>
      </c>
      <c r="R426" s="7" t="s">
        <v>56</v>
      </c>
      <c r="S426" s="15" t="s">
        <v>48</v>
      </c>
      <c r="T426" s="7" t="s">
        <v>99</v>
      </c>
      <c r="U426" s="10">
        <f>IF(T426="Heavy physical",0,IF(T426="Moderate activity",1,2))</f>
      </c>
      <c r="V426" s="5" t="s">
        <v>57</v>
      </c>
      <c r="W426" s="10">
        <f>IF(V426="7–8 hours",0,IF(V426="6–7 hours",1,2))</f>
      </c>
      <c r="X426" s="7" t="s">
        <v>83</v>
      </c>
      <c r="Y426" s="15" t="s">
        <v>75</v>
      </c>
      <c r="Z426" s="7" t="s">
        <v>92</v>
      </c>
      <c r="AA426" s="7" t="s">
        <v>42</v>
      </c>
      <c r="AB426" s="7" t="s">
        <v>48</v>
      </c>
      <c r="AC426" s="7" t="s">
        <v>48</v>
      </c>
      <c r="AD426" s="10">
        <f>I426 + Q426 + U426 + W426</f>
      </c>
      <c r="AE426" s="10">
        <f>IF(AD426&lt;=2,0,IF(AD426&lt;=5,1,2))</f>
      </c>
      <c r="AF426" s="7"/>
    </row>
    <row x14ac:dyDescent="0.25" r="427" customHeight="1" ht="17.25" hidden="1">
      <c r="A427" s="7" t="s">
        <v>49</v>
      </c>
      <c r="B427" s="7" t="s">
        <v>71</v>
      </c>
      <c r="C427" s="7" t="s">
        <v>110</v>
      </c>
      <c r="D427" s="10">
        <v>3</v>
      </c>
      <c r="E427" s="7" t="s">
        <v>34</v>
      </c>
      <c r="F427" s="10">
        <v>189</v>
      </c>
      <c r="G427" s="11">
        <v>70</v>
      </c>
      <c r="H427" s="12">
        <f>G427/((F427/100)*(F427/100))</f>
      </c>
      <c r="I427" s="11">
        <f>IF(H427&lt;25,0,IF(H427&lt;30,1,2))</f>
      </c>
      <c r="J427" s="13">
        <v>5</v>
      </c>
      <c r="K427" s="7" t="s">
        <v>72</v>
      </c>
      <c r="L427" s="7" t="s">
        <v>166</v>
      </c>
      <c r="M427" s="7" t="s">
        <v>54</v>
      </c>
      <c r="N427" s="7" t="s">
        <v>38</v>
      </c>
      <c r="O427" s="7" t="s">
        <v>68</v>
      </c>
      <c r="P427" s="7" t="s">
        <v>81</v>
      </c>
      <c r="Q427" s="10">
        <f>IF(P427="None of the above",0,2)</f>
      </c>
      <c r="R427" s="7" t="s">
        <v>56</v>
      </c>
      <c r="S427" s="15" t="s">
        <v>48</v>
      </c>
      <c r="T427" s="7" t="s">
        <v>96</v>
      </c>
      <c r="U427" s="10">
        <f>IF(T427="Heavy physical",0,IF(T427="Moderate activity",1,2))</f>
      </c>
      <c r="V427" s="5" t="s">
        <v>97</v>
      </c>
      <c r="W427" s="10">
        <f>IF(V427="7–8 hours",0,IF(V427="6–7 hours",1,2))</f>
      </c>
      <c r="X427" s="7" t="s">
        <v>45</v>
      </c>
      <c r="Y427" s="7" t="s">
        <v>46</v>
      </c>
      <c r="Z427" s="7" t="s">
        <v>45</v>
      </c>
      <c r="AA427" s="7" t="s">
        <v>42</v>
      </c>
      <c r="AB427" s="7" t="s">
        <v>42</v>
      </c>
      <c r="AC427" s="7" t="s">
        <v>42</v>
      </c>
      <c r="AD427" s="10">
        <f>I427 + Q427 + U427 + W427</f>
      </c>
      <c r="AE427" s="10">
        <f>IF(AD427&lt;=2,0,IF(AD427&lt;=5,1,2))</f>
      </c>
      <c r="AF427" s="7"/>
    </row>
    <row x14ac:dyDescent="0.25" r="428" customHeight="1" ht="17.25" hidden="1">
      <c r="A428" s="7" t="s">
        <v>49</v>
      </c>
      <c r="B428" s="7" t="s">
        <v>84</v>
      </c>
      <c r="C428" s="7" t="s">
        <v>120</v>
      </c>
      <c r="D428" s="10">
        <v>3</v>
      </c>
      <c r="E428" s="7" t="s">
        <v>34</v>
      </c>
      <c r="F428" s="10">
        <v>188</v>
      </c>
      <c r="G428" s="11">
        <v>58</v>
      </c>
      <c r="H428" s="12">
        <f>G428/((F428/100)*(F428/100))</f>
      </c>
      <c r="I428" s="11">
        <f>IF(H428&lt;25,0,IF(H428&lt;30,1,2))</f>
      </c>
      <c r="J428" s="13">
        <v>3</v>
      </c>
      <c r="K428" s="7" t="s">
        <v>105</v>
      </c>
      <c r="L428" s="7" t="s">
        <v>199</v>
      </c>
      <c r="M428" s="7" t="s">
        <v>54</v>
      </c>
      <c r="N428" s="7" t="s">
        <v>38</v>
      </c>
      <c r="O428" s="7" t="s">
        <v>80</v>
      </c>
      <c r="P428" s="7" t="s">
        <v>40</v>
      </c>
      <c r="Q428" s="10">
        <f>IF(P428="None of the above",0,2)</f>
      </c>
      <c r="R428" s="7" t="s">
        <v>89</v>
      </c>
      <c r="S428" s="15" t="s">
        <v>48</v>
      </c>
      <c r="T428" s="7" t="s">
        <v>96</v>
      </c>
      <c r="U428" s="10">
        <f>IF(T428="Heavy physical",0,IF(T428="Moderate activity",1,2))</f>
      </c>
      <c r="V428" s="5" t="s">
        <v>44</v>
      </c>
      <c r="W428" s="10">
        <f>IF(V428="7–8 hours",0,IF(V428="6–7 hours",1,2))</f>
      </c>
      <c r="X428" s="7" t="s">
        <v>83</v>
      </c>
      <c r="Y428" s="15" t="s">
        <v>64</v>
      </c>
      <c r="Z428" s="7" t="s">
        <v>45</v>
      </c>
      <c r="AA428" s="7" t="s">
        <v>48</v>
      </c>
      <c r="AB428" s="7" t="s">
        <v>42</v>
      </c>
      <c r="AC428" s="7" t="s">
        <v>42</v>
      </c>
      <c r="AD428" s="10">
        <f>I428 + Q428 + U428 + W428</f>
      </c>
      <c r="AE428" s="10">
        <f>IF(AD428&lt;=2,0,IF(AD428&lt;=5,1,2))</f>
      </c>
      <c r="AF428" s="7"/>
    </row>
    <row x14ac:dyDescent="0.25" r="429" customHeight="1" ht="17.25" hidden="1">
      <c r="A429" s="7" t="s">
        <v>76</v>
      </c>
      <c r="B429" s="7" t="s">
        <v>71</v>
      </c>
      <c r="C429" s="7" t="s">
        <v>110</v>
      </c>
      <c r="D429" s="10">
        <v>7</v>
      </c>
      <c r="E429" s="7" t="s">
        <v>34</v>
      </c>
      <c r="F429" s="10">
        <v>199</v>
      </c>
      <c r="G429" s="11">
        <v>99</v>
      </c>
      <c r="H429" s="12">
        <f>G429/((F429/100)*(F429/100))</f>
      </c>
      <c r="I429" s="11">
        <f>IF(H429&lt;25,0,IF(H429&lt;30,1,2))</f>
      </c>
      <c r="J429" s="13">
        <v>4</v>
      </c>
      <c r="K429" s="7" t="s">
        <v>61</v>
      </c>
      <c r="L429" s="7" t="s">
        <v>172</v>
      </c>
      <c r="M429" s="7" t="s">
        <v>185</v>
      </c>
      <c r="N429" s="7" t="s">
        <v>38</v>
      </c>
      <c r="O429" s="7" t="s">
        <v>74</v>
      </c>
      <c r="P429" s="15" t="s">
        <v>132</v>
      </c>
      <c r="Q429" s="10">
        <f>IF(P429="None of the above",0,2)</f>
      </c>
      <c r="R429" s="7" t="s">
        <v>56</v>
      </c>
      <c r="S429" s="15" t="s">
        <v>48</v>
      </c>
      <c r="T429" s="7" t="s">
        <v>99</v>
      </c>
      <c r="U429" s="10">
        <f>IF(T429="Heavy physical",0,IF(T429="Moderate activity",1,2))</f>
      </c>
      <c r="V429" s="5" t="s">
        <v>57</v>
      </c>
      <c r="W429" s="10">
        <f>IF(V429="7–8 hours",0,IF(V429="6–7 hours",1,2))</f>
      </c>
      <c r="X429" s="7" t="s">
        <v>83</v>
      </c>
      <c r="Y429" s="7" t="s">
        <v>58</v>
      </c>
      <c r="Z429" s="7" t="s">
        <v>45</v>
      </c>
      <c r="AA429" s="7" t="s">
        <v>42</v>
      </c>
      <c r="AB429" s="7" t="s">
        <v>42</v>
      </c>
      <c r="AC429" s="7" t="s">
        <v>48</v>
      </c>
      <c r="AD429" s="10">
        <f>I429 + Q429 + U429 + W429</f>
      </c>
      <c r="AE429" s="10">
        <f>IF(AD429&lt;=2,0,IF(AD429&lt;=5,1,2))</f>
      </c>
      <c r="AF429" s="7"/>
    </row>
    <row x14ac:dyDescent="0.25" r="430" customHeight="1" ht="17.25" hidden="1">
      <c r="A430" s="7" t="s">
        <v>76</v>
      </c>
      <c r="B430" s="7" t="s">
        <v>32</v>
      </c>
      <c r="C430" s="7" t="s">
        <v>33</v>
      </c>
      <c r="D430" s="10">
        <v>6</v>
      </c>
      <c r="E430" s="7" t="s">
        <v>34</v>
      </c>
      <c r="F430" s="10">
        <v>150</v>
      </c>
      <c r="G430" s="11">
        <v>60</v>
      </c>
      <c r="H430" s="12">
        <f>G430/((F430/100)*(F430/100))</f>
      </c>
      <c r="I430" s="11">
        <f>IF(H430&lt;25,0,IF(H430&lt;30,1,2))</f>
      </c>
      <c r="J430" s="13">
        <v>3</v>
      </c>
      <c r="K430" s="7" t="s">
        <v>61</v>
      </c>
      <c r="L430" s="7" t="s">
        <v>113</v>
      </c>
      <c r="M430" s="7" t="s">
        <v>185</v>
      </c>
      <c r="N430" s="7" t="s">
        <v>38</v>
      </c>
      <c r="O430" s="7" t="s">
        <v>80</v>
      </c>
      <c r="P430" s="15" t="s">
        <v>132</v>
      </c>
      <c r="Q430" s="10">
        <f>IF(P430="None of the above",0,2)</f>
      </c>
      <c r="R430" s="7" t="s">
        <v>56</v>
      </c>
      <c r="S430" s="15" t="s">
        <v>42</v>
      </c>
      <c r="T430" s="7" t="s">
        <v>96</v>
      </c>
      <c r="U430" s="10">
        <f>IF(T430="Heavy physical",0,IF(T430="Moderate activity",1,2))</f>
      </c>
      <c r="V430" s="5" t="s">
        <v>57</v>
      </c>
      <c r="W430" s="10">
        <f>IF(V430="7–8 hours",0,IF(V430="6–7 hours",1,2))</f>
      </c>
      <c r="X430" s="7" t="s">
        <v>45</v>
      </c>
      <c r="Y430" s="7" t="s">
        <v>46</v>
      </c>
      <c r="Z430" s="7" t="s">
        <v>92</v>
      </c>
      <c r="AA430" s="7" t="s">
        <v>48</v>
      </c>
      <c r="AB430" s="7" t="s">
        <v>42</v>
      </c>
      <c r="AC430" s="7" t="s">
        <v>42</v>
      </c>
      <c r="AD430" s="10">
        <f>I430 + Q430 + U430 + W430</f>
      </c>
      <c r="AE430" s="10">
        <f>IF(AD430&lt;=2,0,IF(AD430&lt;=5,1,2))</f>
      </c>
      <c r="AF430" s="7"/>
    </row>
    <row x14ac:dyDescent="0.25" r="431" customHeight="1" ht="17.25" hidden="1">
      <c r="A431" s="7" t="s">
        <v>76</v>
      </c>
      <c r="B431" s="7" t="s">
        <v>66</v>
      </c>
      <c r="C431" s="7" t="s">
        <v>141</v>
      </c>
      <c r="D431" s="10">
        <v>1</v>
      </c>
      <c r="E431" s="7" t="s">
        <v>34</v>
      </c>
      <c r="F431" s="10">
        <v>173</v>
      </c>
      <c r="G431" s="11">
        <v>84</v>
      </c>
      <c r="H431" s="12">
        <f>G431/((F431/100)*(F431/100))</f>
      </c>
      <c r="I431" s="11">
        <f>IF(H431&lt;25,0,IF(H431&lt;30,1,2))</f>
      </c>
      <c r="J431" s="13">
        <v>2</v>
      </c>
      <c r="K431" s="7" t="s">
        <v>72</v>
      </c>
      <c r="L431" s="7" t="s">
        <v>94</v>
      </c>
      <c r="M431" s="7" t="s">
        <v>185</v>
      </c>
      <c r="N431" s="7" t="s">
        <v>38</v>
      </c>
      <c r="O431" s="7" t="s">
        <v>74</v>
      </c>
      <c r="P431" s="15" t="s">
        <v>132</v>
      </c>
      <c r="Q431" s="10">
        <f>IF(P431="None of the above",0,2)</f>
      </c>
      <c r="R431" s="7" t="s">
        <v>56</v>
      </c>
      <c r="S431" s="15" t="s">
        <v>48</v>
      </c>
      <c r="T431" s="7" t="s">
        <v>96</v>
      </c>
      <c r="U431" s="10">
        <f>IF(T431="Heavy physical",0,IF(T431="Moderate activity",1,2))</f>
      </c>
      <c r="V431" s="5" t="s">
        <v>97</v>
      </c>
      <c r="W431" s="10">
        <f>IF(V431="7–8 hours",0,IF(V431="6–7 hours",1,2))</f>
      </c>
      <c r="X431" s="7" t="s">
        <v>83</v>
      </c>
      <c r="Y431" s="7" t="s">
        <v>46</v>
      </c>
      <c r="Z431" s="7" t="s">
        <v>45</v>
      </c>
      <c r="AA431" s="7" t="s">
        <v>42</v>
      </c>
      <c r="AB431" s="7" t="s">
        <v>42</v>
      </c>
      <c r="AC431" s="7" t="s">
        <v>42</v>
      </c>
      <c r="AD431" s="10">
        <f>I431 + Q431 + U431 + W431</f>
      </c>
      <c r="AE431" s="10">
        <f>IF(AD431&lt;=2,0,IF(AD431&lt;=5,1,2))</f>
      </c>
      <c r="AF431" s="7"/>
    </row>
    <row x14ac:dyDescent="0.25" r="432" customHeight="1" ht="17.25" hidden="1">
      <c r="A432" s="7" t="s">
        <v>49</v>
      </c>
      <c r="B432" s="7" t="s">
        <v>32</v>
      </c>
      <c r="C432" s="15" t="s">
        <v>50</v>
      </c>
      <c r="D432" s="10">
        <v>5</v>
      </c>
      <c r="E432" s="7" t="s">
        <v>34</v>
      </c>
      <c r="F432" s="10">
        <v>181</v>
      </c>
      <c r="G432" s="11">
        <v>55</v>
      </c>
      <c r="H432" s="12">
        <f>G432/((F432/100)*(F432/100))</f>
      </c>
      <c r="I432" s="11">
        <f>IF(H432&lt;25,0,IF(H432&lt;30,1,2))</f>
      </c>
      <c r="J432" s="13">
        <v>3</v>
      </c>
      <c r="K432" s="7" t="s">
        <v>35</v>
      </c>
      <c r="L432" s="7" t="s">
        <v>111</v>
      </c>
      <c r="M432" s="7" t="s">
        <v>41</v>
      </c>
      <c r="N432" s="7" t="s">
        <v>38</v>
      </c>
      <c r="O432" s="7" t="s">
        <v>68</v>
      </c>
      <c r="P432" s="15" t="s">
        <v>132</v>
      </c>
      <c r="Q432" s="10">
        <f>IF(P432="None of the above",0,2)</f>
      </c>
      <c r="R432" s="7" t="s">
        <v>89</v>
      </c>
      <c r="S432" s="15" t="s">
        <v>48</v>
      </c>
      <c r="T432" s="7" t="s">
        <v>96</v>
      </c>
      <c r="U432" s="10">
        <f>IF(T432="Heavy physical",0,IF(T432="Moderate activity",1,2))</f>
      </c>
      <c r="V432" s="5" t="s">
        <v>97</v>
      </c>
      <c r="W432" s="10">
        <f>IF(V432="7–8 hours",0,IF(V432="6–7 hours",1,2))</f>
      </c>
      <c r="X432" s="7" t="s">
        <v>45</v>
      </c>
      <c r="Y432" s="15" t="s">
        <v>75</v>
      </c>
      <c r="Z432" s="7" t="s">
        <v>47</v>
      </c>
      <c r="AA432" s="7" t="s">
        <v>48</v>
      </c>
      <c r="AB432" s="7" t="s">
        <v>48</v>
      </c>
      <c r="AC432" s="7" t="s">
        <v>48</v>
      </c>
      <c r="AD432" s="10">
        <f>I432 + Q432 + U432 + W432</f>
      </c>
      <c r="AE432" s="10">
        <f>IF(AD432&lt;=2,0,IF(AD432&lt;=5,1,2))</f>
      </c>
      <c r="AF432" s="7"/>
    </row>
    <row x14ac:dyDescent="0.25" r="433" customHeight="1" ht="17.25" hidden="1">
      <c r="A433" s="7" t="s">
        <v>76</v>
      </c>
      <c r="B433" s="7" t="s">
        <v>32</v>
      </c>
      <c r="C433" s="7" t="s">
        <v>120</v>
      </c>
      <c r="D433" s="10">
        <v>7</v>
      </c>
      <c r="E433" s="7" t="s">
        <v>34</v>
      </c>
      <c r="F433" s="10">
        <v>164</v>
      </c>
      <c r="G433" s="11">
        <v>87</v>
      </c>
      <c r="H433" s="12">
        <f>G433/((F433/100)*(F433/100))</f>
      </c>
      <c r="I433" s="11">
        <f>IF(H433&lt;25,0,IF(H433&lt;30,1,2))</f>
      </c>
      <c r="J433" s="13">
        <v>2</v>
      </c>
      <c r="K433" s="7" t="s">
        <v>105</v>
      </c>
      <c r="L433" s="7" t="s">
        <v>91</v>
      </c>
      <c r="M433" s="7" t="s">
        <v>185</v>
      </c>
      <c r="N433" s="7" t="s">
        <v>38</v>
      </c>
      <c r="O433" s="7" t="s">
        <v>68</v>
      </c>
      <c r="P433" s="15" t="s">
        <v>132</v>
      </c>
      <c r="Q433" s="10">
        <f>IF(P433="None of the above",0,2)</f>
      </c>
      <c r="R433" s="7" t="s">
        <v>56</v>
      </c>
      <c r="S433" s="15" t="s">
        <v>42</v>
      </c>
      <c r="T433" s="7" t="s">
        <v>96</v>
      </c>
      <c r="U433" s="10">
        <f>IF(T433="Heavy physical",0,IF(T433="Moderate activity",1,2))</f>
      </c>
      <c r="V433" s="5" t="s">
        <v>69</v>
      </c>
      <c r="W433" s="10">
        <f>IF(V433="7–8 hours",0,IF(V433="6–7 hours",1,2))</f>
      </c>
      <c r="X433" s="7" t="s">
        <v>70</v>
      </c>
      <c r="Y433" s="7" t="s">
        <v>46</v>
      </c>
      <c r="Z433" s="7" t="s">
        <v>45</v>
      </c>
      <c r="AA433" s="7" t="s">
        <v>42</v>
      </c>
      <c r="AB433" s="7" t="s">
        <v>42</v>
      </c>
      <c r="AC433" s="7" t="s">
        <v>42</v>
      </c>
      <c r="AD433" s="10">
        <f>I433 + Q433 + U433 + W433</f>
      </c>
      <c r="AE433" s="10">
        <f>IF(AD433&lt;=2,0,IF(AD433&lt;=5,1,2))</f>
      </c>
      <c r="AF433" s="7"/>
    </row>
    <row x14ac:dyDescent="0.25" r="434" customHeight="1" ht="17.25" hidden="1">
      <c r="A434" s="7" t="s">
        <v>31</v>
      </c>
      <c r="B434" s="7" t="s">
        <v>71</v>
      </c>
      <c r="C434" s="7" t="s">
        <v>33</v>
      </c>
      <c r="D434" s="10">
        <v>1</v>
      </c>
      <c r="E434" s="7" t="s">
        <v>51</v>
      </c>
      <c r="F434" s="10">
        <v>172</v>
      </c>
      <c r="G434" s="11">
        <v>102</v>
      </c>
      <c r="H434" s="12">
        <f>G434/((F434/100)*(F434/100))</f>
      </c>
      <c r="I434" s="11">
        <f>IF(H434&lt;25,0,IF(H434&lt;30,1,2))</f>
      </c>
      <c r="J434" s="13">
        <v>3</v>
      </c>
      <c r="K434" s="7" t="s">
        <v>35</v>
      </c>
      <c r="L434" s="7" t="s">
        <v>220</v>
      </c>
      <c r="M434" s="7" t="s">
        <v>41</v>
      </c>
      <c r="N434" s="7" t="s">
        <v>38</v>
      </c>
      <c r="O434" s="7" t="s">
        <v>68</v>
      </c>
      <c r="P434" s="7" t="s">
        <v>81</v>
      </c>
      <c r="Q434" s="10">
        <f>IF(P434="None of the above",0,2)</f>
      </c>
      <c r="R434" s="7" t="s">
        <v>89</v>
      </c>
      <c r="S434" s="15" t="s">
        <v>48</v>
      </c>
      <c r="T434" s="7" t="s">
        <v>99</v>
      </c>
      <c r="U434" s="10">
        <f>IF(T434="Heavy physical",0,IF(T434="Moderate activity",1,2))</f>
      </c>
      <c r="V434" s="5" t="s">
        <v>57</v>
      </c>
      <c r="W434" s="10">
        <f>IF(V434="7–8 hours",0,IF(V434="6–7 hours",1,2))</f>
      </c>
      <c r="X434" s="7" t="s">
        <v>83</v>
      </c>
      <c r="Y434" s="15" t="s">
        <v>75</v>
      </c>
      <c r="Z434" s="7" t="s">
        <v>45</v>
      </c>
      <c r="AA434" s="7" t="s">
        <v>42</v>
      </c>
      <c r="AB434" s="7" t="s">
        <v>42</v>
      </c>
      <c r="AC434" s="7" t="s">
        <v>42</v>
      </c>
      <c r="AD434" s="10">
        <f>I434 + Q434 + U434 + W434</f>
      </c>
      <c r="AE434" s="10">
        <f>IF(AD434&lt;=2,0,IF(AD434&lt;=5,1,2))</f>
      </c>
      <c r="AF434" s="7"/>
    </row>
    <row x14ac:dyDescent="0.25" r="435" customHeight="1" ht="17.25" hidden="1">
      <c r="A435" s="7" t="s">
        <v>76</v>
      </c>
      <c r="B435" s="7" t="s">
        <v>59</v>
      </c>
      <c r="C435" s="15" t="s">
        <v>50</v>
      </c>
      <c r="D435" s="10">
        <v>3</v>
      </c>
      <c r="E435" s="7" t="s">
        <v>34</v>
      </c>
      <c r="F435" s="10">
        <v>183</v>
      </c>
      <c r="G435" s="11">
        <v>105</v>
      </c>
      <c r="H435" s="12">
        <f>G435/((F435/100)*(F435/100))</f>
      </c>
      <c r="I435" s="11">
        <f>IF(H435&lt;25,0,IF(H435&lt;30,1,2))</f>
      </c>
      <c r="J435" s="13">
        <v>2</v>
      </c>
      <c r="K435" s="7" t="s">
        <v>86</v>
      </c>
      <c r="L435" s="7" t="s">
        <v>147</v>
      </c>
      <c r="M435" s="7" t="s">
        <v>185</v>
      </c>
      <c r="N435" s="7" t="s">
        <v>38</v>
      </c>
      <c r="O435" s="7" t="s">
        <v>63</v>
      </c>
      <c r="P435" s="7" t="s">
        <v>55</v>
      </c>
      <c r="Q435" s="10">
        <f>IF(P435="None of the above",0,2)</f>
      </c>
      <c r="R435" s="7" t="s">
        <v>89</v>
      </c>
      <c r="S435" s="15" t="s">
        <v>48</v>
      </c>
      <c r="T435" s="7" t="s">
        <v>96</v>
      </c>
      <c r="U435" s="10">
        <f>IF(T435="Heavy physical",0,IF(T435="Moderate activity",1,2))</f>
      </c>
      <c r="V435" s="5" t="s">
        <v>57</v>
      </c>
      <c r="W435" s="10">
        <f>IF(V435="7–8 hours",0,IF(V435="6–7 hours",1,2))</f>
      </c>
      <c r="X435" s="7" t="s">
        <v>45</v>
      </c>
      <c r="Y435" s="7" t="s">
        <v>46</v>
      </c>
      <c r="Z435" s="7" t="s">
        <v>65</v>
      </c>
      <c r="AA435" s="7" t="s">
        <v>42</v>
      </c>
      <c r="AB435" s="7" t="s">
        <v>42</v>
      </c>
      <c r="AC435" s="7" t="s">
        <v>48</v>
      </c>
      <c r="AD435" s="10">
        <f>I435 + Q435 + U435 + W435</f>
      </c>
      <c r="AE435" s="10">
        <f>IF(AD435&lt;=2,0,IF(AD435&lt;=5,1,2))</f>
      </c>
      <c r="AF435" s="7"/>
    </row>
    <row x14ac:dyDescent="0.25" r="436" customHeight="1" ht="17.25" hidden="1">
      <c r="A436" s="7" t="s">
        <v>31</v>
      </c>
      <c r="B436" s="7" t="s">
        <v>66</v>
      </c>
      <c r="C436" s="15" t="s">
        <v>50</v>
      </c>
      <c r="D436" s="10">
        <v>1</v>
      </c>
      <c r="E436" s="7" t="s">
        <v>51</v>
      </c>
      <c r="F436" s="10">
        <v>199</v>
      </c>
      <c r="G436" s="11">
        <v>103</v>
      </c>
      <c r="H436" s="12">
        <f>G436/((F436/100)*(F436/100))</f>
      </c>
      <c r="I436" s="11">
        <f>IF(H436&lt;25,0,IF(H436&lt;30,1,2))</f>
      </c>
      <c r="J436" s="13">
        <v>1</v>
      </c>
      <c r="K436" s="7" t="s">
        <v>105</v>
      </c>
      <c r="L436" s="7" t="s">
        <v>103</v>
      </c>
      <c r="M436" s="7" t="s">
        <v>54</v>
      </c>
      <c r="N436" s="7" t="s">
        <v>38</v>
      </c>
      <c r="O436" s="7" t="s">
        <v>80</v>
      </c>
      <c r="P436" s="7" t="s">
        <v>40</v>
      </c>
      <c r="Q436" s="10">
        <f>IF(P436="None of the above",0,2)</f>
      </c>
      <c r="R436" s="7" t="s">
        <v>89</v>
      </c>
      <c r="S436" s="15" t="s">
        <v>48</v>
      </c>
      <c r="T436" s="7" t="s">
        <v>99</v>
      </c>
      <c r="U436" s="10">
        <f>IF(T436="Heavy physical",0,IF(T436="Moderate activity",1,2))</f>
      </c>
      <c r="V436" s="5" t="s">
        <v>69</v>
      </c>
      <c r="W436" s="10">
        <f>IF(V436="7–8 hours",0,IF(V436="6–7 hours",1,2))</f>
      </c>
      <c r="X436" s="7" t="s">
        <v>102</v>
      </c>
      <c r="Y436" s="7" t="s">
        <v>46</v>
      </c>
      <c r="Z436" s="7" t="s">
        <v>45</v>
      </c>
      <c r="AA436" s="7" t="s">
        <v>42</v>
      </c>
      <c r="AB436" s="7" t="s">
        <v>42</v>
      </c>
      <c r="AC436" s="7" t="s">
        <v>42</v>
      </c>
      <c r="AD436" s="10">
        <f>I436 + Q436 + U436 + W436</f>
      </c>
      <c r="AE436" s="10">
        <f>IF(AD436&lt;=2,0,IF(AD436&lt;=5,1,2))</f>
      </c>
      <c r="AF436" s="7"/>
    </row>
    <row x14ac:dyDescent="0.25" r="437" customHeight="1" ht="17.25" hidden="1">
      <c r="A437" s="7" t="s">
        <v>49</v>
      </c>
      <c r="B437" s="7" t="s">
        <v>32</v>
      </c>
      <c r="C437" s="16" t="s">
        <v>206</v>
      </c>
      <c r="D437" s="10">
        <v>6</v>
      </c>
      <c r="E437" s="7" t="s">
        <v>34</v>
      </c>
      <c r="F437" s="10">
        <v>162</v>
      </c>
      <c r="G437" s="11">
        <v>52</v>
      </c>
      <c r="H437" s="12">
        <f>G437/((F437/100)*(F437/100))</f>
      </c>
      <c r="I437" s="11">
        <f>IF(H437&lt;25,0,IF(H437&lt;30,1,2))</f>
      </c>
      <c r="J437" s="13">
        <v>2</v>
      </c>
      <c r="K437" s="7" t="s">
        <v>35</v>
      </c>
      <c r="L437" s="7" t="s">
        <v>225</v>
      </c>
      <c r="M437" s="7" t="s">
        <v>41</v>
      </c>
      <c r="N437" s="7" t="s">
        <v>38</v>
      </c>
      <c r="O437" s="7" t="s">
        <v>80</v>
      </c>
      <c r="P437" s="7" t="s">
        <v>81</v>
      </c>
      <c r="Q437" s="10">
        <f>IF(P437="None of the above",0,2)</f>
      </c>
      <c r="R437" s="7" t="s">
        <v>56</v>
      </c>
      <c r="S437" s="15" t="s">
        <v>42</v>
      </c>
      <c r="T437" s="7" t="s">
        <v>96</v>
      </c>
      <c r="U437" s="10">
        <f>IF(T437="Heavy physical",0,IF(T437="Moderate activity",1,2))</f>
      </c>
      <c r="V437" s="5" t="s">
        <v>69</v>
      </c>
      <c r="W437" s="10">
        <f>IF(V437="7–8 hours",0,IF(V437="6–7 hours",1,2))</f>
      </c>
      <c r="X437" s="7" t="s">
        <v>45</v>
      </c>
      <c r="Y437" s="15" t="s">
        <v>64</v>
      </c>
      <c r="Z437" s="7" t="s">
        <v>47</v>
      </c>
      <c r="AA437" s="7" t="s">
        <v>42</v>
      </c>
      <c r="AB437" s="7" t="s">
        <v>48</v>
      </c>
      <c r="AC437" s="7" t="s">
        <v>42</v>
      </c>
      <c r="AD437" s="10">
        <f>I437 + Q437 + U437 + W437</f>
      </c>
      <c r="AE437" s="10">
        <f>IF(AD437&lt;=2,0,IF(AD437&lt;=5,1,2))</f>
      </c>
      <c r="AF437" s="7"/>
    </row>
    <row x14ac:dyDescent="0.25" r="438" customHeight="1" ht="17.25" hidden="1">
      <c r="A438" s="7" t="s">
        <v>31</v>
      </c>
      <c r="B438" s="7" t="s">
        <v>77</v>
      </c>
      <c r="C438" s="7" t="s">
        <v>33</v>
      </c>
      <c r="D438" s="10">
        <v>8</v>
      </c>
      <c r="E438" s="7" t="s">
        <v>34</v>
      </c>
      <c r="F438" s="10">
        <v>151</v>
      </c>
      <c r="G438" s="11">
        <v>112</v>
      </c>
      <c r="H438" s="12">
        <f>G438/((F438/100)*(F438/100))</f>
      </c>
      <c r="I438" s="11">
        <f>IF(H438&lt;25,0,IF(H438&lt;30,1,2))</f>
      </c>
      <c r="J438" s="13">
        <v>3</v>
      </c>
      <c r="K438" s="7" t="s">
        <v>105</v>
      </c>
      <c r="L438" s="7" t="s">
        <v>150</v>
      </c>
      <c r="M438" s="7" t="s">
        <v>185</v>
      </c>
      <c r="N438" s="7" t="s">
        <v>38</v>
      </c>
      <c r="O438" s="7" t="s">
        <v>68</v>
      </c>
      <c r="P438" s="7" t="s">
        <v>81</v>
      </c>
      <c r="Q438" s="10">
        <f>IF(P438="None of the above",0,2)</f>
      </c>
      <c r="R438" s="7" t="s">
        <v>89</v>
      </c>
      <c r="S438" s="15" t="s">
        <v>48</v>
      </c>
      <c r="T438" s="7" t="s">
        <v>99</v>
      </c>
      <c r="U438" s="10">
        <f>IF(T438="Heavy physical",0,IF(T438="Moderate activity",1,2))</f>
      </c>
      <c r="V438" s="5" t="s">
        <v>57</v>
      </c>
      <c r="W438" s="10">
        <f>IF(V438="7–8 hours",0,IF(V438="6–7 hours",1,2))</f>
      </c>
      <c r="X438" s="7" t="s">
        <v>70</v>
      </c>
      <c r="Y438" s="7" t="s">
        <v>46</v>
      </c>
      <c r="Z438" s="7" t="s">
        <v>65</v>
      </c>
      <c r="AA438" s="7" t="s">
        <v>42</v>
      </c>
      <c r="AB438" s="7" t="s">
        <v>48</v>
      </c>
      <c r="AC438" s="7" t="s">
        <v>42</v>
      </c>
      <c r="AD438" s="10">
        <f>I438 + Q438 + U438 + W438</f>
      </c>
      <c r="AE438" s="10">
        <f>IF(AD438&lt;=2,0,IF(AD438&lt;=5,1,2))</f>
      </c>
      <c r="AF438" s="7"/>
    </row>
    <row x14ac:dyDescent="0.25" r="439" customHeight="1" ht="17.25" hidden="1">
      <c r="A439" s="7" t="s">
        <v>49</v>
      </c>
      <c r="B439" s="7" t="s">
        <v>66</v>
      </c>
      <c r="C439" s="7" t="s">
        <v>120</v>
      </c>
      <c r="D439" s="10">
        <v>3</v>
      </c>
      <c r="E439" s="7" t="s">
        <v>51</v>
      </c>
      <c r="F439" s="10">
        <v>156</v>
      </c>
      <c r="G439" s="11">
        <v>90</v>
      </c>
      <c r="H439" s="12">
        <f>G439/((F439/100)*(F439/100))</f>
      </c>
      <c r="I439" s="11">
        <f>IF(H439&lt;25,0,IF(H439&lt;30,1,2))</f>
      </c>
      <c r="J439" s="13">
        <v>2</v>
      </c>
      <c r="K439" s="7" t="s">
        <v>105</v>
      </c>
      <c r="L439" s="7" t="s">
        <v>119</v>
      </c>
      <c r="M439" s="7" t="s">
        <v>185</v>
      </c>
      <c r="N439" s="7" t="s">
        <v>38</v>
      </c>
      <c r="O439" s="7" t="s">
        <v>74</v>
      </c>
      <c r="P439" s="7" t="s">
        <v>40</v>
      </c>
      <c r="Q439" s="10">
        <f>IF(P439="None of the above",0,2)</f>
      </c>
      <c r="R439" s="7" t="s">
        <v>56</v>
      </c>
      <c r="S439" s="15" t="s">
        <v>48</v>
      </c>
      <c r="T439" s="7" t="s">
        <v>96</v>
      </c>
      <c r="U439" s="10">
        <f>IF(T439="Heavy physical",0,IF(T439="Moderate activity",1,2))</f>
      </c>
      <c r="V439" s="5" t="s">
        <v>44</v>
      </c>
      <c r="W439" s="10">
        <f>IF(V439="7–8 hours",0,IF(V439="6–7 hours",1,2))</f>
      </c>
      <c r="X439" s="7" t="s">
        <v>102</v>
      </c>
      <c r="Y439" s="7" t="s">
        <v>58</v>
      </c>
      <c r="Z439" s="7" t="s">
        <v>92</v>
      </c>
      <c r="AA439" s="7" t="s">
        <v>42</v>
      </c>
      <c r="AB439" s="7" t="s">
        <v>42</v>
      </c>
      <c r="AC439" s="7" t="s">
        <v>42</v>
      </c>
      <c r="AD439" s="10">
        <f>I439 + Q439 + U439 + W439</f>
      </c>
      <c r="AE439" s="10">
        <f>IF(AD439&lt;=2,0,IF(AD439&lt;=5,1,2))</f>
      </c>
      <c r="AF439" s="7"/>
    </row>
    <row x14ac:dyDescent="0.25" r="440" customHeight="1" ht="17.25" hidden="1">
      <c r="A440" s="7" t="s">
        <v>31</v>
      </c>
      <c r="B440" s="7" t="s">
        <v>93</v>
      </c>
      <c r="C440" s="15" t="s">
        <v>50</v>
      </c>
      <c r="D440" s="10">
        <v>5</v>
      </c>
      <c r="E440" s="7" t="s">
        <v>34</v>
      </c>
      <c r="F440" s="10">
        <v>195</v>
      </c>
      <c r="G440" s="11">
        <v>55</v>
      </c>
      <c r="H440" s="12">
        <f>G440/((F440/100)*(F440/100))</f>
      </c>
      <c r="I440" s="11">
        <f>IF(H440&lt;25,0,IF(H440&lt;30,1,2))</f>
      </c>
      <c r="J440" s="13">
        <v>2</v>
      </c>
      <c r="K440" s="7" t="s">
        <v>52</v>
      </c>
      <c r="L440" s="7" t="s">
        <v>208</v>
      </c>
      <c r="M440" s="7" t="s">
        <v>185</v>
      </c>
      <c r="N440" s="7" t="s">
        <v>38</v>
      </c>
      <c r="O440" s="7" t="s">
        <v>80</v>
      </c>
      <c r="P440" s="7" t="s">
        <v>81</v>
      </c>
      <c r="Q440" s="10">
        <f>IF(P440="None of the above",0,2)</f>
      </c>
      <c r="R440" s="7" t="s">
        <v>56</v>
      </c>
      <c r="S440" s="15" t="s">
        <v>48</v>
      </c>
      <c r="T440" s="7" t="s">
        <v>96</v>
      </c>
      <c r="U440" s="10">
        <f>IF(T440="Heavy physical",0,IF(T440="Moderate activity",1,2))</f>
      </c>
      <c r="V440" s="5" t="s">
        <v>97</v>
      </c>
      <c r="W440" s="10">
        <f>IF(V440="7–8 hours",0,IF(V440="6–7 hours",1,2))</f>
      </c>
      <c r="X440" s="7" t="s">
        <v>102</v>
      </c>
      <c r="Y440" s="7" t="s">
        <v>46</v>
      </c>
      <c r="Z440" s="7" t="s">
        <v>47</v>
      </c>
      <c r="AA440" s="7" t="s">
        <v>48</v>
      </c>
      <c r="AB440" s="7" t="s">
        <v>42</v>
      </c>
      <c r="AC440" s="7" t="s">
        <v>48</v>
      </c>
      <c r="AD440" s="10">
        <f>I440 + Q440 + U440 + W440</f>
      </c>
      <c r="AE440" s="10">
        <f>IF(AD440&lt;=2,0,IF(AD440&lt;=5,1,2))</f>
      </c>
      <c r="AF440" s="7"/>
    </row>
    <row x14ac:dyDescent="0.25" r="441" customHeight="1" ht="17.25" hidden="1">
      <c r="A441" s="7" t="s">
        <v>31</v>
      </c>
      <c r="B441" s="7" t="s">
        <v>32</v>
      </c>
      <c r="C441" s="7" t="s">
        <v>226</v>
      </c>
      <c r="D441" s="10">
        <v>7</v>
      </c>
      <c r="E441" s="7" t="s">
        <v>51</v>
      </c>
      <c r="F441" s="10">
        <v>168</v>
      </c>
      <c r="G441" s="11">
        <v>69</v>
      </c>
      <c r="H441" s="12">
        <f>G441/((F441/100)*(F441/100))</f>
      </c>
      <c r="I441" s="11">
        <f>IF(H441&lt;25,0,IF(H441&lt;30,1,2))</f>
      </c>
      <c r="J441" s="13">
        <v>3</v>
      </c>
      <c r="K441" s="7" t="s">
        <v>72</v>
      </c>
      <c r="L441" s="7" t="s">
        <v>111</v>
      </c>
      <c r="M441" s="7" t="s">
        <v>185</v>
      </c>
      <c r="N441" s="7" t="s">
        <v>38</v>
      </c>
      <c r="O441" s="7" t="s">
        <v>74</v>
      </c>
      <c r="P441" s="7" t="s">
        <v>40</v>
      </c>
      <c r="Q441" s="10">
        <f>IF(P441="None of the above",0,2)</f>
      </c>
      <c r="R441" s="7" t="s">
        <v>56</v>
      </c>
      <c r="S441" s="15" t="s">
        <v>48</v>
      </c>
      <c r="T441" s="7" t="s">
        <v>99</v>
      </c>
      <c r="U441" s="10">
        <f>IF(T441="Heavy physical",0,IF(T441="Moderate activity",1,2))</f>
      </c>
      <c r="V441" s="5" t="s">
        <v>69</v>
      </c>
      <c r="W441" s="10">
        <f>IF(V441="7–8 hours",0,IF(V441="6–7 hours",1,2))</f>
      </c>
      <c r="X441" s="7" t="s">
        <v>45</v>
      </c>
      <c r="Y441" s="7" t="s">
        <v>46</v>
      </c>
      <c r="Z441" s="7" t="s">
        <v>92</v>
      </c>
      <c r="AA441" s="7" t="s">
        <v>42</v>
      </c>
      <c r="AB441" s="7" t="s">
        <v>42</v>
      </c>
      <c r="AC441" s="7" t="s">
        <v>42</v>
      </c>
      <c r="AD441" s="10">
        <f>I441 + Q441 + U441 + W441</f>
      </c>
      <c r="AE441" s="10">
        <f>IF(AD441&lt;=2,0,IF(AD441&lt;=5,1,2))</f>
      </c>
      <c r="AF441" s="7"/>
    </row>
    <row x14ac:dyDescent="0.25" r="442" customHeight="1" ht="17.25" hidden="1">
      <c r="A442" s="7" t="s">
        <v>76</v>
      </c>
      <c r="B442" s="7" t="s">
        <v>66</v>
      </c>
      <c r="C442" s="7" t="s">
        <v>110</v>
      </c>
      <c r="D442" s="10">
        <v>4</v>
      </c>
      <c r="E442" s="7" t="s">
        <v>34</v>
      </c>
      <c r="F442" s="10">
        <v>164</v>
      </c>
      <c r="G442" s="11">
        <v>77</v>
      </c>
      <c r="H442" s="12">
        <f>G442/((F442/100)*(F442/100))</f>
      </c>
      <c r="I442" s="11">
        <f>IF(H442&lt;25,0,IF(H442&lt;30,1,2))</f>
      </c>
      <c r="J442" s="13">
        <v>1</v>
      </c>
      <c r="K442" s="7" t="s">
        <v>86</v>
      </c>
      <c r="L442" s="7" t="s">
        <v>95</v>
      </c>
      <c r="M442" s="7" t="s">
        <v>185</v>
      </c>
      <c r="N442" s="7" t="s">
        <v>38</v>
      </c>
      <c r="O442" s="7" t="s">
        <v>68</v>
      </c>
      <c r="P442" s="7" t="s">
        <v>81</v>
      </c>
      <c r="Q442" s="10">
        <f>IF(P442="None of the above",0,2)</f>
      </c>
      <c r="R442" s="7" t="s">
        <v>56</v>
      </c>
      <c r="S442" s="15" t="s">
        <v>42</v>
      </c>
      <c r="T442" s="15" t="s">
        <v>96</v>
      </c>
      <c r="U442" s="10">
        <f>IF(T442="Heavy physical",0,IF(T442="Moderate activity",1,2))</f>
      </c>
      <c r="V442" s="5" t="s">
        <v>57</v>
      </c>
      <c r="W442" s="10">
        <f>IF(V442="7–8 hours",0,IF(V442="6–7 hours",1,2))</f>
      </c>
      <c r="X442" s="7" t="s">
        <v>70</v>
      </c>
      <c r="Y442" s="15" t="s">
        <v>64</v>
      </c>
      <c r="Z442" s="7" t="s">
        <v>45</v>
      </c>
      <c r="AA442" s="7" t="s">
        <v>42</v>
      </c>
      <c r="AB442" s="7" t="s">
        <v>42</v>
      </c>
      <c r="AC442" s="7" t="s">
        <v>42</v>
      </c>
      <c r="AD442" s="10">
        <f>I442 + Q442 + U442 + W442</f>
      </c>
      <c r="AE442" s="10">
        <f>IF(AD442&lt;=2,0,IF(AD442&lt;=5,1,2))</f>
      </c>
      <c r="AF442" s="7"/>
    </row>
    <row x14ac:dyDescent="0.25" r="443" customHeight="1" ht="17.25" hidden="1">
      <c r="A443" s="7" t="s">
        <v>76</v>
      </c>
      <c r="B443" s="7" t="s">
        <v>93</v>
      </c>
      <c r="C443" s="7" t="s">
        <v>33</v>
      </c>
      <c r="D443" s="10">
        <v>1</v>
      </c>
      <c r="E443" s="7" t="s">
        <v>34</v>
      </c>
      <c r="F443" s="10">
        <v>178</v>
      </c>
      <c r="G443" s="11">
        <v>56</v>
      </c>
      <c r="H443" s="12">
        <f>G443/((F443/100)*(F443/100))</f>
      </c>
      <c r="I443" s="11">
        <f>IF(H443&lt;25,0,IF(H443&lt;30,1,2))</f>
      </c>
      <c r="J443" s="13">
        <v>3</v>
      </c>
      <c r="K443" s="7" t="s">
        <v>105</v>
      </c>
      <c r="L443" s="7" t="s">
        <v>147</v>
      </c>
      <c r="M443" s="7" t="s">
        <v>185</v>
      </c>
      <c r="N443" s="7" t="s">
        <v>38</v>
      </c>
      <c r="O443" s="7" t="s">
        <v>74</v>
      </c>
      <c r="P443" s="7" t="s">
        <v>40</v>
      </c>
      <c r="Q443" s="10">
        <f>IF(P443="None of the above",0,2)</f>
      </c>
      <c r="R443" s="7" t="s">
        <v>56</v>
      </c>
      <c r="S443" s="15" t="s">
        <v>48</v>
      </c>
      <c r="T443" s="7" t="s">
        <v>99</v>
      </c>
      <c r="U443" s="10">
        <f>IF(T443="Heavy physical",0,IF(T443="Moderate activity",1,2))</f>
      </c>
      <c r="V443" s="5" t="s">
        <v>97</v>
      </c>
      <c r="W443" s="10">
        <f>IF(V443="7–8 hours",0,IF(V443="6–7 hours",1,2))</f>
      </c>
      <c r="X443" s="7" t="s">
        <v>70</v>
      </c>
      <c r="Y443" s="7" t="s">
        <v>46</v>
      </c>
      <c r="Z443" s="7" t="s">
        <v>45</v>
      </c>
      <c r="AA443" s="7" t="s">
        <v>48</v>
      </c>
      <c r="AB443" s="7" t="s">
        <v>42</v>
      </c>
      <c r="AC443" s="7" t="s">
        <v>48</v>
      </c>
      <c r="AD443" s="10">
        <f>I443 + Q443 + U443 + W443</f>
      </c>
      <c r="AE443" s="10">
        <f>IF(AD443&lt;=2,0,IF(AD443&lt;=5,1,2))</f>
      </c>
      <c r="AF443" s="7"/>
    </row>
    <row x14ac:dyDescent="0.25" r="444" customHeight="1" ht="17.25" hidden="1">
      <c r="A444" s="7" t="s">
        <v>31</v>
      </c>
      <c r="B444" s="7" t="s">
        <v>66</v>
      </c>
      <c r="C444" s="7" t="s">
        <v>33</v>
      </c>
      <c r="D444" s="10">
        <v>5</v>
      </c>
      <c r="E444" s="7" t="s">
        <v>34</v>
      </c>
      <c r="F444" s="10">
        <v>156</v>
      </c>
      <c r="G444" s="11">
        <v>52</v>
      </c>
      <c r="H444" s="12">
        <f>G444/((F444/100)*(F444/100))</f>
      </c>
      <c r="I444" s="11">
        <f>IF(H444&lt;25,0,IF(H444&lt;30,1,2))</f>
      </c>
      <c r="J444" s="13">
        <v>3</v>
      </c>
      <c r="K444" s="7" t="s">
        <v>61</v>
      </c>
      <c r="L444" s="7" t="s">
        <v>36</v>
      </c>
      <c r="M444" s="7" t="s">
        <v>185</v>
      </c>
      <c r="N444" s="7" t="s">
        <v>38</v>
      </c>
      <c r="O444" s="7" t="s">
        <v>63</v>
      </c>
      <c r="P444" s="7" t="s">
        <v>81</v>
      </c>
      <c r="Q444" s="10">
        <f>IF(P444="None of the above",0,2)</f>
      </c>
      <c r="R444" s="7" t="s">
        <v>56</v>
      </c>
      <c r="S444" s="15" t="s">
        <v>48</v>
      </c>
      <c r="T444" s="7" t="s">
        <v>96</v>
      </c>
      <c r="U444" s="10">
        <f>IF(T444="Heavy physical",0,IF(T444="Moderate activity",1,2))</f>
      </c>
      <c r="V444" s="5" t="s">
        <v>97</v>
      </c>
      <c r="W444" s="10">
        <f>IF(V444="7–8 hours",0,IF(V444="6–7 hours",1,2))</f>
      </c>
      <c r="X444" s="7" t="s">
        <v>83</v>
      </c>
      <c r="Y444" s="7" t="s">
        <v>46</v>
      </c>
      <c r="Z444" s="7" t="s">
        <v>45</v>
      </c>
      <c r="AA444" s="7" t="s">
        <v>42</v>
      </c>
      <c r="AB444" s="7" t="s">
        <v>48</v>
      </c>
      <c r="AC444" s="7" t="s">
        <v>42</v>
      </c>
      <c r="AD444" s="10">
        <f>I444 + Q444 + U444 + W444</f>
      </c>
      <c r="AE444" s="10">
        <f>IF(AD444&lt;=2,0,IF(AD444&lt;=5,1,2))</f>
      </c>
      <c r="AF444" s="7"/>
    </row>
    <row x14ac:dyDescent="0.25" r="445" customHeight="1" ht="17.25" hidden="1">
      <c r="A445" s="7" t="s">
        <v>31</v>
      </c>
      <c r="B445" s="7" t="s">
        <v>93</v>
      </c>
      <c r="C445" s="7" t="s">
        <v>33</v>
      </c>
      <c r="D445" s="10">
        <v>7</v>
      </c>
      <c r="E445" s="7" t="s">
        <v>51</v>
      </c>
      <c r="F445" s="10">
        <v>145</v>
      </c>
      <c r="G445" s="11">
        <v>56</v>
      </c>
      <c r="H445" s="12">
        <f>G445/((F445/100)*(F445/100))</f>
      </c>
      <c r="I445" s="11">
        <f>IF(H445&lt;25,0,IF(H445&lt;30,1,2))</f>
      </c>
      <c r="J445" s="13">
        <v>3</v>
      </c>
      <c r="K445" s="7" t="s">
        <v>86</v>
      </c>
      <c r="L445" s="7" t="s">
        <v>108</v>
      </c>
      <c r="M445" s="7" t="s">
        <v>41</v>
      </c>
      <c r="N445" s="7" t="s">
        <v>38</v>
      </c>
      <c r="O445" s="7" t="s">
        <v>63</v>
      </c>
      <c r="P445" s="7" t="s">
        <v>40</v>
      </c>
      <c r="Q445" s="10">
        <f>IF(P445="None of the above",0,2)</f>
      </c>
      <c r="R445" s="7" t="s">
        <v>56</v>
      </c>
      <c r="S445" s="15" t="s">
        <v>42</v>
      </c>
      <c r="T445" s="15" t="s">
        <v>96</v>
      </c>
      <c r="U445" s="10">
        <f>IF(T445="Heavy physical",0,IF(T445="Moderate activity",1,2))</f>
      </c>
      <c r="V445" s="5" t="s">
        <v>69</v>
      </c>
      <c r="W445" s="10">
        <f>IF(V445="7–8 hours",0,IF(V445="6–7 hours",1,2))</f>
      </c>
      <c r="X445" s="7" t="s">
        <v>70</v>
      </c>
      <c r="Y445" s="15" t="s">
        <v>75</v>
      </c>
      <c r="Z445" s="7" t="s">
        <v>65</v>
      </c>
      <c r="AA445" s="7" t="s">
        <v>42</v>
      </c>
      <c r="AB445" s="7" t="s">
        <v>42</v>
      </c>
      <c r="AC445" s="7" t="s">
        <v>42</v>
      </c>
      <c r="AD445" s="10">
        <f>I445 + Q445 + U445 + W445</f>
      </c>
      <c r="AE445" s="10">
        <f>IF(AD445&lt;=2,0,IF(AD445&lt;=5,1,2))</f>
      </c>
      <c r="AF445" s="7"/>
    </row>
    <row x14ac:dyDescent="0.25" r="446" customHeight="1" ht="17.25" hidden="1">
      <c r="A446" s="7" t="s">
        <v>31</v>
      </c>
      <c r="B446" s="7" t="s">
        <v>71</v>
      </c>
      <c r="C446" s="7" t="s">
        <v>33</v>
      </c>
      <c r="D446" s="10">
        <v>8</v>
      </c>
      <c r="E446" s="7" t="s">
        <v>51</v>
      </c>
      <c r="F446" s="10">
        <v>195</v>
      </c>
      <c r="G446" s="11">
        <v>113</v>
      </c>
      <c r="H446" s="12">
        <f>G446/((F446/100)*(F446/100))</f>
      </c>
      <c r="I446" s="11">
        <f>IF(H446&lt;25,0,IF(H446&lt;30,1,2))</f>
      </c>
      <c r="J446" s="13">
        <v>3</v>
      </c>
      <c r="K446" s="7" t="s">
        <v>61</v>
      </c>
      <c r="L446" s="7" t="s">
        <v>193</v>
      </c>
      <c r="M446" s="7" t="s">
        <v>185</v>
      </c>
      <c r="N446" s="7" t="s">
        <v>38</v>
      </c>
      <c r="O446" s="7" t="s">
        <v>39</v>
      </c>
      <c r="P446" s="7" t="s">
        <v>81</v>
      </c>
      <c r="Q446" s="10">
        <f>IF(P446="None of the above",0,2)</f>
      </c>
      <c r="R446" s="7" t="s">
        <v>56</v>
      </c>
      <c r="S446" s="15" t="s">
        <v>48</v>
      </c>
      <c r="T446" s="7" t="s">
        <v>96</v>
      </c>
      <c r="U446" s="10">
        <f>IF(T446="Heavy physical",0,IF(T446="Moderate activity",1,2))</f>
      </c>
      <c r="V446" s="5" t="s">
        <v>97</v>
      </c>
      <c r="W446" s="10">
        <f>IF(V446="7–8 hours",0,IF(V446="6–7 hours",1,2))</f>
      </c>
      <c r="X446" s="7" t="s">
        <v>102</v>
      </c>
      <c r="Y446" s="7" t="s">
        <v>46</v>
      </c>
      <c r="Z446" s="7" t="s">
        <v>45</v>
      </c>
      <c r="AA446" s="7" t="s">
        <v>42</v>
      </c>
      <c r="AB446" s="7" t="s">
        <v>42</v>
      </c>
      <c r="AC446" s="7" t="s">
        <v>42</v>
      </c>
      <c r="AD446" s="10">
        <f>I446 + Q446 + U446 + W446</f>
      </c>
      <c r="AE446" s="10">
        <f>IF(AD446&lt;=2,0,IF(AD446&lt;=5,1,2))</f>
      </c>
      <c r="AF446" s="7"/>
    </row>
    <row x14ac:dyDescent="0.25" r="447" customHeight="1" ht="17.25" hidden="1">
      <c r="A447" s="7" t="s">
        <v>149</v>
      </c>
      <c r="B447" s="7" t="s">
        <v>71</v>
      </c>
      <c r="C447" s="7" t="s">
        <v>33</v>
      </c>
      <c r="D447" s="10">
        <v>7</v>
      </c>
      <c r="E447" s="7" t="s">
        <v>34</v>
      </c>
      <c r="F447" s="10">
        <v>172</v>
      </c>
      <c r="G447" s="11">
        <v>96</v>
      </c>
      <c r="H447" s="12">
        <f>G447/((F447/100)*(F447/100))</f>
      </c>
      <c r="I447" s="11">
        <f>IF(H447&lt;25,0,IF(H447&lt;30,1,2))</f>
      </c>
      <c r="J447" s="13">
        <v>3</v>
      </c>
      <c r="K447" s="7" t="s">
        <v>61</v>
      </c>
      <c r="L447" s="7" t="s">
        <v>108</v>
      </c>
      <c r="M447" s="7" t="s">
        <v>54</v>
      </c>
      <c r="N447" s="7" t="s">
        <v>38</v>
      </c>
      <c r="O447" s="7" t="s">
        <v>63</v>
      </c>
      <c r="P447" s="7" t="s">
        <v>81</v>
      </c>
      <c r="Q447" s="10">
        <f>IF(P447="None of the above",0,2)</f>
      </c>
      <c r="R447" s="7" t="s">
        <v>56</v>
      </c>
      <c r="S447" s="15" t="s">
        <v>48</v>
      </c>
      <c r="T447" s="15" t="s">
        <v>96</v>
      </c>
      <c r="U447" s="10">
        <f>IF(T447="Heavy physical",0,IF(T447="Moderate activity",1,2))</f>
      </c>
      <c r="V447" s="5" t="s">
        <v>57</v>
      </c>
      <c r="W447" s="10">
        <f>IF(V447="7–8 hours",0,IF(V447="6–7 hours",1,2))</f>
      </c>
      <c r="X447" s="7" t="s">
        <v>102</v>
      </c>
      <c r="Y447" s="7" t="s">
        <v>46</v>
      </c>
      <c r="Z447" s="7" t="s">
        <v>65</v>
      </c>
      <c r="AA447" s="7" t="s">
        <v>42</v>
      </c>
      <c r="AB447" s="7" t="s">
        <v>48</v>
      </c>
      <c r="AC447" s="7" t="s">
        <v>42</v>
      </c>
      <c r="AD447" s="10">
        <f>I447 + Q447 + U447 + W447</f>
      </c>
      <c r="AE447" s="10">
        <f>IF(AD447&lt;=2,0,IF(AD447&lt;=5,1,2))</f>
      </c>
      <c r="AF447" s="7"/>
    </row>
    <row x14ac:dyDescent="0.25" r="448" customHeight="1" ht="17.25" hidden="1">
      <c r="A448" s="7" t="s">
        <v>76</v>
      </c>
      <c r="B448" s="7" t="s">
        <v>84</v>
      </c>
      <c r="C448" s="7" t="s">
        <v>33</v>
      </c>
      <c r="D448" s="10">
        <v>3</v>
      </c>
      <c r="E448" s="7" t="s">
        <v>34</v>
      </c>
      <c r="F448" s="10">
        <v>185</v>
      </c>
      <c r="G448" s="11">
        <v>49</v>
      </c>
      <c r="H448" s="12">
        <f>G448/((F448/100)*(F448/100))</f>
      </c>
      <c r="I448" s="11">
        <f>IF(H448&lt;25,0,IF(H448&lt;30,1,2))</f>
      </c>
      <c r="J448" s="13">
        <v>1</v>
      </c>
      <c r="K448" s="7" t="s">
        <v>86</v>
      </c>
      <c r="L448" s="7" t="s">
        <v>133</v>
      </c>
      <c r="M448" s="7" t="s">
        <v>185</v>
      </c>
      <c r="N448" s="7" t="s">
        <v>38</v>
      </c>
      <c r="O448" s="7" t="s">
        <v>74</v>
      </c>
      <c r="P448" s="7" t="s">
        <v>81</v>
      </c>
      <c r="Q448" s="10">
        <f>IF(P448="None of the above",0,2)</f>
      </c>
      <c r="R448" s="7" t="s">
        <v>56</v>
      </c>
      <c r="S448" s="15" t="s">
        <v>48</v>
      </c>
      <c r="T448" s="7" t="s">
        <v>99</v>
      </c>
      <c r="U448" s="10">
        <f>IF(T448="Heavy physical",0,IF(T448="Moderate activity",1,2))</f>
      </c>
      <c r="V448" s="5" t="s">
        <v>97</v>
      </c>
      <c r="W448" s="10">
        <f>IF(V448="7–8 hours",0,IF(V448="6–7 hours",1,2))</f>
      </c>
      <c r="X448" s="7" t="s">
        <v>70</v>
      </c>
      <c r="Y448" s="7" t="s">
        <v>46</v>
      </c>
      <c r="Z448" s="7" t="s">
        <v>45</v>
      </c>
      <c r="AA448" s="7" t="s">
        <v>48</v>
      </c>
      <c r="AB448" s="7" t="s">
        <v>42</v>
      </c>
      <c r="AC448" s="7" t="s">
        <v>42</v>
      </c>
      <c r="AD448" s="10">
        <f>I448 + Q448 + U448 + W448</f>
      </c>
      <c r="AE448" s="10">
        <f>IF(AD448&lt;=2,0,IF(AD448&lt;=5,1,2))</f>
      </c>
      <c r="AF448" s="7"/>
    </row>
    <row x14ac:dyDescent="0.25" r="449" customHeight="1" ht="17.25" hidden="1">
      <c r="A449" s="7" t="s">
        <v>31</v>
      </c>
      <c r="B449" s="7" t="s">
        <v>84</v>
      </c>
      <c r="C449" s="7" t="s">
        <v>33</v>
      </c>
      <c r="D449" s="10">
        <v>8</v>
      </c>
      <c r="E449" s="7" t="s">
        <v>34</v>
      </c>
      <c r="F449" s="10">
        <v>158</v>
      </c>
      <c r="G449" s="11">
        <v>114</v>
      </c>
      <c r="H449" s="12">
        <f>G449/((F449/100)*(F449/100))</f>
      </c>
      <c r="I449" s="11">
        <f>IF(H449&lt;25,0,IF(H449&lt;30,1,2))</f>
      </c>
      <c r="J449" s="13">
        <v>3</v>
      </c>
      <c r="K449" s="7" t="s">
        <v>52</v>
      </c>
      <c r="L449" s="7" t="s">
        <v>152</v>
      </c>
      <c r="M449" s="7" t="s">
        <v>185</v>
      </c>
      <c r="N449" s="7" t="s">
        <v>38</v>
      </c>
      <c r="O449" s="7" t="s">
        <v>74</v>
      </c>
      <c r="P449" s="7" t="s">
        <v>40</v>
      </c>
      <c r="Q449" s="10">
        <f>IF(P449="None of the above",0,2)</f>
      </c>
      <c r="R449" s="7" t="s">
        <v>56</v>
      </c>
      <c r="S449" s="15" t="s">
        <v>42</v>
      </c>
      <c r="T449" s="7" t="s">
        <v>96</v>
      </c>
      <c r="U449" s="10">
        <f>IF(T449="Heavy physical",0,IF(T449="Moderate activity",1,2))</f>
      </c>
      <c r="V449" s="5" t="s">
        <v>97</v>
      </c>
      <c r="W449" s="10">
        <f>IF(V449="7–8 hours",0,IF(V449="6–7 hours",1,2))</f>
      </c>
      <c r="X449" s="7" t="s">
        <v>45</v>
      </c>
      <c r="Y449" s="15" t="s">
        <v>64</v>
      </c>
      <c r="Z449" s="7" t="s">
        <v>92</v>
      </c>
      <c r="AA449" s="7" t="s">
        <v>42</v>
      </c>
      <c r="AB449" s="7" t="s">
        <v>48</v>
      </c>
      <c r="AC449" s="7" t="s">
        <v>42</v>
      </c>
      <c r="AD449" s="10">
        <f>I449 + Q449 + U449 + W449</f>
      </c>
      <c r="AE449" s="10">
        <f>IF(AD449&lt;=2,0,IF(AD449&lt;=5,1,2))</f>
      </c>
      <c r="AF449" s="7"/>
    </row>
    <row x14ac:dyDescent="0.25" r="450" customHeight="1" ht="17.25" hidden="1">
      <c r="A450" s="7" t="s">
        <v>76</v>
      </c>
      <c r="B450" s="7" t="s">
        <v>93</v>
      </c>
      <c r="C450" s="7" t="s">
        <v>33</v>
      </c>
      <c r="D450" s="10">
        <v>3</v>
      </c>
      <c r="E450" s="7" t="s">
        <v>34</v>
      </c>
      <c r="F450" s="10">
        <v>157</v>
      </c>
      <c r="G450" s="11">
        <v>74</v>
      </c>
      <c r="H450" s="12">
        <f>G450/((F450/100)*(F450/100))</f>
      </c>
      <c r="I450" s="11">
        <f>IF(H450&lt;25,0,IF(H450&lt;30,1,2))</f>
      </c>
      <c r="J450" s="13">
        <v>3</v>
      </c>
      <c r="K450" s="7" t="s">
        <v>105</v>
      </c>
      <c r="L450" s="7" t="s">
        <v>129</v>
      </c>
      <c r="M450" s="7" t="s">
        <v>185</v>
      </c>
      <c r="N450" s="7" t="s">
        <v>38</v>
      </c>
      <c r="O450" s="7" t="s">
        <v>80</v>
      </c>
      <c r="P450" s="7" t="s">
        <v>81</v>
      </c>
      <c r="Q450" s="10">
        <f>IF(P450="None of the above",0,2)</f>
      </c>
      <c r="R450" s="7" t="s">
        <v>56</v>
      </c>
      <c r="S450" s="15" t="s">
        <v>48</v>
      </c>
      <c r="T450" s="7" t="s">
        <v>99</v>
      </c>
      <c r="U450" s="10">
        <f>IF(T450="Heavy physical",0,IF(T450="Moderate activity",1,2))</f>
      </c>
      <c r="V450" s="5" t="s">
        <v>57</v>
      </c>
      <c r="W450" s="10">
        <f>IF(V450="7–8 hours",0,IF(V450="6–7 hours",1,2))</f>
      </c>
      <c r="X450" s="7" t="s">
        <v>45</v>
      </c>
      <c r="Y450" s="15" t="s">
        <v>64</v>
      </c>
      <c r="Z450" s="7" t="s">
        <v>45</v>
      </c>
      <c r="AA450" s="7" t="s">
        <v>48</v>
      </c>
      <c r="AB450" s="7" t="s">
        <v>42</v>
      </c>
      <c r="AC450" s="7" t="s">
        <v>42</v>
      </c>
      <c r="AD450" s="10">
        <f>I450 + Q450 + U450 + W450</f>
      </c>
      <c r="AE450" s="10">
        <f>IF(AD450&lt;=2,0,IF(AD450&lt;=5,1,2))</f>
      </c>
      <c r="AF450" s="7"/>
    </row>
    <row x14ac:dyDescent="0.25" r="451" customHeight="1" ht="17.25" hidden="1">
      <c r="A451" s="7" t="s">
        <v>76</v>
      </c>
      <c r="B451" s="7" t="s">
        <v>66</v>
      </c>
      <c r="C451" s="7" t="s">
        <v>33</v>
      </c>
      <c r="D451" s="10">
        <v>2</v>
      </c>
      <c r="E451" s="7" t="s">
        <v>34</v>
      </c>
      <c r="F451" s="10">
        <v>172</v>
      </c>
      <c r="G451" s="11">
        <v>89</v>
      </c>
      <c r="H451" s="12">
        <f>G451/((F451/100)*(F451/100))</f>
      </c>
      <c r="I451" s="11">
        <f>IF(H451&lt;25,0,IF(H451&lt;30,1,2))</f>
      </c>
      <c r="J451" s="13">
        <v>3</v>
      </c>
      <c r="K451" s="7" t="s">
        <v>61</v>
      </c>
      <c r="L451" s="7" t="s">
        <v>36</v>
      </c>
      <c r="M451" s="7" t="s">
        <v>185</v>
      </c>
      <c r="N451" s="7" t="s">
        <v>38</v>
      </c>
      <c r="O451" s="7" t="s">
        <v>74</v>
      </c>
      <c r="P451" s="7" t="s">
        <v>40</v>
      </c>
      <c r="Q451" s="10">
        <f>IF(P451="None of the above",0,2)</f>
      </c>
      <c r="R451" s="7" t="s">
        <v>56</v>
      </c>
      <c r="S451" s="15" t="s">
        <v>48</v>
      </c>
      <c r="T451" s="15" t="s">
        <v>96</v>
      </c>
      <c r="U451" s="10">
        <f>IF(T451="Heavy physical",0,IF(T451="Moderate activity",1,2))</f>
      </c>
      <c r="V451" s="5" t="s">
        <v>97</v>
      </c>
      <c r="W451" s="10">
        <f>IF(V451="7–8 hours",0,IF(V451="6–7 hours",1,2))</f>
      </c>
      <c r="X451" s="7" t="s">
        <v>45</v>
      </c>
      <c r="Y451" s="7" t="s">
        <v>46</v>
      </c>
      <c r="Z451" s="7" t="s">
        <v>45</v>
      </c>
      <c r="AA451" s="7" t="s">
        <v>42</v>
      </c>
      <c r="AB451" s="7" t="s">
        <v>48</v>
      </c>
      <c r="AC451" s="7" t="s">
        <v>48</v>
      </c>
      <c r="AD451" s="10">
        <f>I451 + Q451 + U451 + W451</f>
      </c>
      <c r="AE451" s="10">
        <f>IF(AD451&lt;=2,0,IF(AD451&lt;=5,1,2))</f>
      </c>
      <c r="AF451" s="7"/>
    </row>
    <row x14ac:dyDescent="0.25" r="452" customHeight="1" ht="17.25" hidden="1">
      <c r="A452" s="7" t="s">
        <v>149</v>
      </c>
      <c r="B452" s="7" t="s">
        <v>32</v>
      </c>
      <c r="C452" s="7" t="s">
        <v>33</v>
      </c>
      <c r="D452" s="10">
        <v>8</v>
      </c>
      <c r="E452" s="7" t="s">
        <v>34</v>
      </c>
      <c r="F452" s="10">
        <v>198</v>
      </c>
      <c r="G452" s="11">
        <v>50</v>
      </c>
      <c r="H452" s="12">
        <f>G452/((F452/100)*(F452/100))</f>
      </c>
      <c r="I452" s="11">
        <f>IF(H452&lt;25,0,IF(H452&lt;30,1,2))</f>
      </c>
      <c r="J452" s="13">
        <v>3</v>
      </c>
      <c r="K452" s="7" t="s">
        <v>72</v>
      </c>
      <c r="L452" s="7" t="s">
        <v>94</v>
      </c>
      <c r="M452" s="7" t="s">
        <v>41</v>
      </c>
      <c r="N452" s="7" t="s">
        <v>38</v>
      </c>
      <c r="O452" s="7" t="s">
        <v>80</v>
      </c>
      <c r="P452" s="7" t="s">
        <v>81</v>
      </c>
      <c r="Q452" s="10">
        <f>IF(P452="None of the above",0,2)</f>
      </c>
      <c r="R452" s="7" t="s">
        <v>56</v>
      </c>
      <c r="S452" s="15" t="s">
        <v>42</v>
      </c>
      <c r="T452" s="7" t="s">
        <v>96</v>
      </c>
      <c r="U452" s="10">
        <f>IF(T452="Heavy physical",0,IF(T452="Moderate activity",1,2))</f>
      </c>
      <c r="V452" s="5" t="s">
        <v>57</v>
      </c>
      <c r="W452" s="10">
        <f>IF(V452="7–8 hours",0,IF(V452="6–7 hours",1,2))</f>
      </c>
      <c r="X452" s="7" t="s">
        <v>45</v>
      </c>
      <c r="Y452" s="7" t="s">
        <v>46</v>
      </c>
      <c r="Z452" s="7" t="s">
        <v>92</v>
      </c>
      <c r="AA452" s="7" t="s">
        <v>48</v>
      </c>
      <c r="AB452" s="7" t="s">
        <v>42</v>
      </c>
      <c r="AC452" s="7" t="s">
        <v>42</v>
      </c>
      <c r="AD452" s="10">
        <f>I452 + Q452 + U452 + W452</f>
      </c>
      <c r="AE452" s="10">
        <f>IF(AD452&lt;=2,0,IF(AD452&lt;=5,1,2))</f>
      </c>
      <c r="AF452" s="7"/>
    </row>
    <row x14ac:dyDescent="0.25" r="453" customHeight="1" ht="17.25" hidden="1">
      <c r="A453" s="7" t="s">
        <v>49</v>
      </c>
      <c r="B453" s="7" t="s">
        <v>59</v>
      </c>
      <c r="C453" s="7" t="s">
        <v>33</v>
      </c>
      <c r="D453" s="10">
        <v>6</v>
      </c>
      <c r="E453" s="7" t="s">
        <v>34</v>
      </c>
      <c r="F453" s="10">
        <v>154</v>
      </c>
      <c r="G453" s="11">
        <v>58</v>
      </c>
      <c r="H453" s="12">
        <f>G453/((F453/100)*(F453/100))</f>
      </c>
      <c r="I453" s="11">
        <f>IF(H453&lt;25,0,IF(H453&lt;30,1,2))</f>
      </c>
      <c r="J453" s="13">
        <v>3</v>
      </c>
      <c r="K453" s="7" t="s">
        <v>52</v>
      </c>
      <c r="L453" s="7" t="s">
        <v>108</v>
      </c>
      <c r="M453" s="7" t="s">
        <v>185</v>
      </c>
      <c r="N453" s="7" t="s">
        <v>38</v>
      </c>
      <c r="O453" s="7" t="s">
        <v>74</v>
      </c>
      <c r="P453" s="7" t="s">
        <v>81</v>
      </c>
      <c r="Q453" s="10">
        <f>IF(P453="None of the above",0,2)</f>
      </c>
      <c r="R453" s="7" t="s">
        <v>56</v>
      </c>
      <c r="S453" s="15" t="s">
        <v>48</v>
      </c>
      <c r="T453" s="7" t="s">
        <v>99</v>
      </c>
      <c r="U453" s="10">
        <f>IF(T453="Heavy physical",0,IF(T453="Moderate activity",1,2))</f>
      </c>
      <c r="V453" s="5" t="s">
        <v>69</v>
      </c>
      <c r="W453" s="10">
        <f>IF(V453="7–8 hours",0,IF(V453="6–7 hours",1,2))</f>
      </c>
      <c r="X453" s="7" t="s">
        <v>45</v>
      </c>
      <c r="Y453" s="7" t="s">
        <v>58</v>
      </c>
      <c r="Z453" s="7" t="s">
        <v>45</v>
      </c>
      <c r="AA453" s="7" t="s">
        <v>42</v>
      </c>
      <c r="AB453" s="7" t="s">
        <v>42</v>
      </c>
      <c r="AC453" s="7" t="s">
        <v>42</v>
      </c>
      <c r="AD453" s="10">
        <f>I453 + Q453 + U453 + W453</f>
      </c>
      <c r="AE453" s="10">
        <f>IF(AD453&lt;=2,0,IF(AD453&lt;=5,1,2))</f>
      </c>
      <c r="AF453" s="7"/>
    </row>
    <row x14ac:dyDescent="0.25" r="454" customHeight="1" ht="17.25" hidden="1">
      <c r="A454" s="7" t="s">
        <v>31</v>
      </c>
      <c r="B454" s="7" t="s">
        <v>84</v>
      </c>
      <c r="C454" s="7" t="s">
        <v>33</v>
      </c>
      <c r="D454" s="10">
        <v>7</v>
      </c>
      <c r="E454" s="7" t="s">
        <v>34</v>
      </c>
      <c r="F454" s="10">
        <v>197</v>
      </c>
      <c r="G454" s="11">
        <v>51</v>
      </c>
      <c r="H454" s="12">
        <f>G454/((F454/100)*(F454/100))</f>
      </c>
      <c r="I454" s="11">
        <f>IF(H454&lt;25,0,IF(H454&lt;30,1,2))</f>
      </c>
      <c r="J454" s="13">
        <v>3</v>
      </c>
      <c r="K454" s="7" t="s">
        <v>35</v>
      </c>
      <c r="L454" s="7" t="s">
        <v>94</v>
      </c>
      <c r="M454" s="7" t="s">
        <v>185</v>
      </c>
      <c r="N454" s="7" t="s">
        <v>38</v>
      </c>
      <c r="O454" s="7" t="s">
        <v>68</v>
      </c>
      <c r="P454" s="7" t="s">
        <v>40</v>
      </c>
      <c r="Q454" s="10">
        <f>IF(P454="None of the above",0,2)</f>
      </c>
      <c r="R454" s="7" t="s">
        <v>56</v>
      </c>
      <c r="S454" s="15" t="s">
        <v>48</v>
      </c>
      <c r="T454" s="15" t="s">
        <v>96</v>
      </c>
      <c r="U454" s="10">
        <f>IF(T454="Heavy physical",0,IF(T454="Moderate activity",1,2))</f>
      </c>
      <c r="V454" s="5" t="s">
        <v>69</v>
      </c>
      <c r="W454" s="10">
        <f>IF(V454="7–8 hours",0,IF(V454="6–7 hours",1,2))</f>
      </c>
      <c r="X454" s="7" t="s">
        <v>102</v>
      </c>
      <c r="Y454" s="7" t="s">
        <v>46</v>
      </c>
      <c r="Z454" s="7" t="s">
        <v>45</v>
      </c>
      <c r="AA454" s="7" t="s">
        <v>48</v>
      </c>
      <c r="AB454" s="7" t="s">
        <v>42</v>
      </c>
      <c r="AC454" s="7" t="s">
        <v>42</v>
      </c>
      <c r="AD454" s="10">
        <f>I454 + Q454 + U454 + W454</f>
      </c>
      <c r="AE454" s="10">
        <f>IF(AD454&lt;=2,0,IF(AD454&lt;=5,1,2))</f>
      </c>
      <c r="AF454" s="7"/>
    </row>
    <row x14ac:dyDescent="0.25" r="455" customHeight="1" ht="17.25" hidden="1">
      <c r="A455" s="7" t="s">
        <v>31</v>
      </c>
      <c r="B455" s="7" t="s">
        <v>84</v>
      </c>
      <c r="C455" s="7" t="s">
        <v>33</v>
      </c>
      <c r="D455" s="10">
        <v>4</v>
      </c>
      <c r="E455" s="7" t="s">
        <v>34</v>
      </c>
      <c r="F455" s="10">
        <v>172</v>
      </c>
      <c r="G455" s="11">
        <v>87</v>
      </c>
      <c r="H455" s="12">
        <f>G455/((F455/100)*(F455/100))</f>
      </c>
      <c r="I455" s="11">
        <f>IF(H455&lt;25,0,IF(H455&lt;30,1,2))</f>
      </c>
      <c r="J455" s="13">
        <v>3</v>
      </c>
      <c r="K455" s="7" t="s">
        <v>35</v>
      </c>
      <c r="L455" s="7" t="s">
        <v>147</v>
      </c>
      <c r="M455" s="7" t="s">
        <v>185</v>
      </c>
      <c r="N455" s="7" t="s">
        <v>38</v>
      </c>
      <c r="O455" s="7" t="s">
        <v>80</v>
      </c>
      <c r="P455" s="7" t="s">
        <v>81</v>
      </c>
      <c r="Q455" s="10">
        <f>IF(P455="None of the above",0,2)</f>
      </c>
      <c r="R455" s="7" t="s">
        <v>56</v>
      </c>
      <c r="S455" s="15" t="s">
        <v>42</v>
      </c>
      <c r="T455" s="7" t="s">
        <v>96</v>
      </c>
      <c r="U455" s="10">
        <f>IF(T455="Heavy physical",0,IF(T455="Moderate activity",1,2))</f>
      </c>
      <c r="V455" s="5" t="s">
        <v>44</v>
      </c>
      <c r="W455" s="10">
        <f>IF(V455="7–8 hours",0,IF(V455="6–7 hours",1,2))</f>
      </c>
      <c r="X455" s="7" t="s">
        <v>83</v>
      </c>
      <c r="Y455" s="7" t="s">
        <v>46</v>
      </c>
      <c r="Z455" s="7" t="s">
        <v>65</v>
      </c>
      <c r="AA455" s="7" t="s">
        <v>42</v>
      </c>
      <c r="AB455" s="7" t="s">
        <v>42</v>
      </c>
      <c r="AC455" s="7" t="s">
        <v>42</v>
      </c>
      <c r="AD455" s="10">
        <f>I455 + Q455 + U455 + W455</f>
      </c>
      <c r="AE455" s="10">
        <f>IF(AD455&lt;=2,0,IF(AD455&lt;=5,1,2))</f>
      </c>
      <c r="AF455" s="7"/>
    </row>
    <row x14ac:dyDescent="0.25" r="456" customHeight="1" ht="17.25" hidden="1">
      <c r="A456" s="7" t="s">
        <v>76</v>
      </c>
      <c r="B456" s="7" t="s">
        <v>59</v>
      </c>
      <c r="C456" s="7" t="s">
        <v>33</v>
      </c>
      <c r="D456" s="10">
        <v>7</v>
      </c>
      <c r="E456" s="7" t="s">
        <v>51</v>
      </c>
      <c r="F456" s="10">
        <v>155</v>
      </c>
      <c r="G456" s="11">
        <v>88</v>
      </c>
      <c r="H456" s="12">
        <f>G456/((F456/100)*(F456/100))</f>
      </c>
      <c r="I456" s="11">
        <f>IF(H456&lt;25,0,IF(H456&lt;30,1,2))</f>
      </c>
      <c r="J456" s="13">
        <v>2</v>
      </c>
      <c r="K456" s="7" t="s">
        <v>61</v>
      </c>
      <c r="L456" s="7" t="s">
        <v>147</v>
      </c>
      <c r="M456" s="7" t="s">
        <v>185</v>
      </c>
      <c r="N456" s="7" t="s">
        <v>38</v>
      </c>
      <c r="O456" s="7" t="s">
        <v>80</v>
      </c>
      <c r="P456" s="7" t="s">
        <v>55</v>
      </c>
      <c r="Q456" s="10">
        <f>IF(P456="None of the above",0,2)</f>
      </c>
      <c r="R456" s="7" t="s">
        <v>56</v>
      </c>
      <c r="S456" s="15" t="s">
        <v>48</v>
      </c>
      <c r="T456" s="7" t="s">
        <v>99</v>
      </c>
      <c r="U456" s="10">
        <f>IF(T456="Heavy physical",0,IF(T456="Moderate activity",1,2))</f>
      </c>
      <c r="V456" s="5" t="s">
        <v>97</v>
      </c>
      <c r="W456" s="10">
        <f>IF(V456="7–8 hours",0,IF(V456="6–7 hours",1,2))</f>
      </c>
      <c r="X456" s="7" t="s">
        <v>70</v>
      </c>
      <c r="Y456" s="15" t="s">
        <v>64</v>
      </c>
      <c r="Z456" s="7" t="s">
        <v>45</v>
      </c>
      <c r="AA456" s="7" t="s">
        <v>42</v>
      </c>
      <c r="AB456" s="7" t="s">
        <v>42</v>
      </c>
      <c r="AC456" s="7" t="s">
        <v>42</v>
      </c>
      <c r="AD456" s="10">
        <f>I456 + Q456 + U456 + W456</f>
      </c>
      <c r="AE456" s="10">
        <f>IF(AD456&lt;=2,0,IF(AD456&lt;=5,1,2))</f>
      </c>
      <c r="AF456" s="7"/>
    </row>
    <row x14ac:dyDescent="0.25" r="457" customHeight="1" ht="17.25" hidden="1">
      <c r="A457" s="7" t="s">
        <v>49</v>
      </c>
      <c r="B457" s="7" t="s">
        <v>32</v>
      </c>
      <c r="C457" s="7" t="s">
        <v>33</v>
      </c>
      <c r="D457" s="10">
        <v>1</v>
      </c>
      <c r="E457" s="7" t="s">
        <v>34</v>
      </c>
      <c r="F457" s="10">
        <v>180</v>
      </c>
      <c r="G457" s="11">
        <v>50</v>
      </c>
      <c r="H457" s="12">
        <f>G457/((F457/100)*(F457/100))</f>
      </c>
      <c r="I457" s="11">
        <f>IF(H457&lt;25,0,IF(H457&lt;30,1,2))</f>
      </c>
      <c r="J457" s="13">
        <v>3</v>
      </c>
      <c r="K457" s="7" t="s">
        <v>72</v>
      </c>
      <c r="L457" s="7" t="s">
        <v>116</v>
      </c>
      <c r="M457" s="7" t="s">
        <v>185</v>
      </c>
      <c r="N457" s="7" t="s">
        <v>38</v>
      </c>
      <c r="O457" s="7" t="s">
        <v>63</v>
      </c>
      <c r="P457" s="7" t="s">
        <v>81</v>
      </c>
      <c r="Q457" s="10">
        <f>IF(P457="None of the above",0,2)</f>
      </c>
      <c r="R457" s="7" t="s">
        <v>56</v>
      </c>
      <c r="S457" s="15" t="s">
        <v>48</v>
      </c>
      <c r="T457" s="15" t="s">
        <v>96</v>
      </c>
      <c r="U457" s="10">
        <f>IF(T457="Heavy physical",0,IF(T457="Moderate activity",1,2))</f>
      </c>
      <c r="V457" s="5" t="s">
        <v>57</v>
      </c>
      <c r="W457" s="10">
        <f>IF(V457="7–8 hours",0,IF(V457="6–7 hours",1,2))</f>
      </c>
      <c r="X457" s="7" t="s">
        <v>102</v>
      </c>
      <c r="Y457" s="7" t="s">
        <v>46</v>
      </c>
      <c r="Z457" s="7" t="s">
        <v>45</v>
      </c>
      <c r="AA457" s="7" t="s">
        <v>48</v>
      </c>
      <c r="AB457" s="7" t="s">
        <v>42</v>
      </c>
      <c r="AC457" s="7" t="s">
        <v>48</v>
      </c>
      <c r="AD457" s="10">
        <f>I457 + Q457 + U457 + W457</f>
      </c>
      <c r="AE457" s="10">
        <f>IF(AD457&lt;=2,0,IF(AD457&lt;=5,1,2))</f>
      </c>
      <c r="AF457" s="7"/>
    </row>
    <row x14ac:dyDescent="0.25" r="458" customHeight="1" ht="17.25" hidden="1">
      <c r="A458" s="7" t="s">
        <v>76</v>
      </c>
      <c r="B458" s="7" t="s">
        <v>59</v>
      </c>
      <c r="C458" s="7" t="s">
        <v>120</v>
      </c>
      <c r="D458" s="10">
        <v>5</v>
      </c>
      <c r="E458" s="7" t="s">
        <v>51</v>
      </c>
      <c r="F458" s="10">
        <v>161</v>
      </c>
      <c r="G458" s="11">
        <v>78</v>
      </c>
      <c r="H458" s="12">
        <f>G458/((F458/100)*(F458/100))</f>
      </c>
      <c r="I458" s="11">
        <f>IF(H458&lt;25,0,IF(H458&lt;30,1,2))</f>
      </c>
      <c r="J458" s="13">
        <v>3</v>
      </c>
      <c r="K458" s="7" t="s">
        <v>105</v>
      </c>
      <c r="L458" s="7" t="s">
        <v>36</v>
      </c>
      <c r="M458" s="7" t="s">
        <v>185</v>
      </c>
      <c r="N458" s="7" t="s">
        <v>38</v>
      </c>
      <c r="O458" s="7" t="s">
        <v>39</v>
      </c>
      <c r="P458" s="7" t="s">
        <v>40</v>
      </c>
      <c r="Q458" s="10">
        <f>IF(P458="None of the above",0,2)</f>
      </c>
      <c r="R458" s="7" t="s">
        <v>56</v>
      </c>
      <c r="S458" s="15" t="s">
        <v>48</v>
      </c>
      <c r="T458" s="7" t="s">
        <v>96</v>
      </c>
      <c r="U458" s="10">
        <f>IF(T458="Heavy physical",0,IF(T458="Moderate activity",1,2))</f>
      </c>
      <c r="V458" s="5" t="s">
        <v>57</v>
      </c>
      <c r="W458" s="10">
        <f>IF(V458="7–8 hours",0,IF(V458="6–7 hours",1,2))</f>
      </c>
      <c r="X458" s="7" t="s">
        <v>45</v>
      </c>
      <c r="Y458" s="15" t="s">
        <v>64</v>
      </c>
      <c r="Z458" s="7" t="s">
        <v>47</v>
      </c>
      <c r="AA458" s="7" t="s">
        <v>42</v>
      </c>
      <c r="AB458" s="7" t="s">
        <v>42</v>
      </c>
      <c r="AC458" s="7" t="s">
        <v>42</v>
      </c>
      <c r="AD458" s="10">
        <f>I458 + Q458 + U458 + W458</f>
      </c>
      <c r="AE458" s="10">
        <f>IF(AD458&lt;=2,0,IF(AD458&lt;=5,1,2))</f>
      </c>
      <c r="AF458" s="7"/>
    </row>
    <row x14ac:dyDescent="0.25" r="459" customHeight="1" ht="17.25" hidden="1">
      <c r="A459" s="7" t="s">
        <v>49</v>
      </c>
      <c r="B459" s="7" t="s">
        <v>66</v>
      </c>
      <c r="C459" s="15" t="s">
        <v>50</v>
      </c>
      <c r="D459" s="10">
        <v>6</v>
      </c>
      <c r="E459" s="7" t="s">
        <v>51</v>
      </c>
      <c r="F459" s="10">
        <v>141</v>
      </c>
      <c r="G459" s="11">
        <v>117</v>
      </c>
      <c r="H459" s="12">
        <f>G459/((F459/100)*(F459/100))</f>
      </c>
      <c r="I459" s="11">
        <f>IF(H459&lt;25,0,IF(H459&lt;30,1,2))</f>
      </c>
      <c r="J459" s="13">
        <v>3</v>
      </c>
      <c r="K459" s="7" t="s">
        <v>35</v>
      </c>
      <c r="L459" s="7" t="s">
        <v>227</v>
      </c>
      <c r="M459" s="7" t="s">
        <v>185</v>
      </c>
      <c r="N459" s="7" t="s">
        <v>38</v>
      </c>
      <c r="O459" s="7" t="s">
        <v>39</v>
      </c>
      <c r="P459" s="7" t="s">
        <v>81</v>
      </c>
      <c r="Q459" s="10">
        <f>IF(P459="None of the above",0,2)</f>
      </c>
      <c r="R459" s="7" t="s">
        <v>56</v>
      </c>
      <c r="S459" s="15" t="s">
        <v>42</v>
      </c>
      <c r="T459" s="7" t="s">
        <v>99</v>
      </c>
      <c r="U459" s="10">
        <f>IF(T459="Heavy physical",0,IF(T459="Moderate activity",1,2))</f>
      </c>
      <c r="V459" s="5" t="s">
        <v>69</v>
      </c>
      <c r="W459" s="10">
        <f>IF(V459="7–8 hours",0,IF(V459="6–7 hours",1,2))</f>
      </c>
      <c r="X459" s="7" t="s">
        <v>45</v>
      </c>
      <c r="Y459" s="7" t="s">
        <v>46</v>
      </c>
      <c r="Z459" s="7" t="s">
        <v>92</v>
      </c>
      <c r="AA459" s="7" t="s">
        <v>42</v>
      </c>
      <c r="AB459" s="7" t="s">
        <v>42</v>
      </c>
      <c r="AC459" s="7" t="s">
        <v>42</v>
      </c>
      <c r="AD459" s="10">
        <f>I459 + Q459 + U459 + W459</f>
      </c>
      <c r="AE459" s="10">
        <f>IF(AD459&lt;=2,0,IF(AD459&lt;=5,1,2))</f>
      </c>
      <c r="AF459" s="7"/>
    </row>
    <row x14ac:dyDescent="0.25" r="460" customHeight="1" ht="17.25" hidden="1">
      <c r="A460" s="7" t="s">
        <v>192</v>
      </c>
      <c r="B460" s="7" t="s">
        <v>93</v>
      </c>
      <c r="C460" s="7" t="s">
        <v>60</v>
      </c>
      <c r="D460" s="10">
        <v>7</v>
      </c>
      <c r="E460" s="7" t="s">
        <v>51</v>
      </c>
      <c r="F460" s="10">
        <v>168</v>
      </c>
      <c r="G460" s="11">
        <v>79</v>
      </c>
      <c r="H460" s="12">
        <f>G460/((F460/100)*(F460/100))</f>
      </c>
      <c r="I460" s="11">
        <f>IF(H460&lt;25,0,IF(H460&lt;30,1,2))</f>
      </c>
      <c r="J460" s="13">
        <v>2</v>
      </c>
      <c r="K460" s="7" t="s">
        <v>105</v>
      </c>
      <c r="L460" s="7" t="s">
        <v>100</v>
      </c>
      <c r="M460" s="7" t="s">
        <v>185</v>
      </c>
      <c r="N460" s="7" t="s">
        <v>38</v>
      </c>
      <c r="O460" s="7" t="s">
        <v>74</v>
      </c>
      <c r="P460" s="7" t="s">
        <v>81</v>
      </c>
      <c r="Q460" s="10">
        <f>IF(P460="None of the above",0,2)</f>
      </c>
      <c r="R460" s="7" t="s">
        <v>56</v>
      </c>
      <c r="S460" s="15" t="s">
        <v>48</v>
      </c>
      <c r="T460" s="7" t="s">
        <v>96</v>
      </c>
      <c r="U460" s="10">
        <f>IF(T460="Heavy physical",0,IF(T460="Moderate activity",1,2))</f>
      </c>
      <c r="V460" s="5" t="s">
        <v>97</v>
      </c>
      <c r="W460" s="10">
        <f>IF(V460="7–8 hours",0,IF(V460="6–7 hours",1,2))</f>
      </c>
      <c r="X460" s="7" t="s">
        <v>70</v>
      </c>
      <c r="Y460" s="7" t="s">
        <v>46</v>
      </c>
      <c r="Z460" s="7" t="s">
        <v>47</v>
      </c>
      <c r="AA460" s="7" t="s">
        <v>42</v>
      </c>
      <c r="AB460" s="7" t="s">
        <v>42</v>
      </c>
      <c r="AC460" s="7" t="s">
        <v>42</v>
      </c>
      <c r="AD460" s="10">
        <f>I460 + Q460 + U460 + W460</f>
      </c>
      <c r="AE460" s="10">
        <f>IF(AD460&lt;=2,0,IF(AD460&lt;=5,1,2))</f>
      </c>
      <c r="AF460" s="7"/>
    </row>
    <row x14ac:dyDescent="0.25" r="461" customHeight="1" ht="17.25" hidden="1">
      <c r="A461" s="7" t="s">
        <v>49</v>
      </c>
      <c r="B461" s="7" t="s">
        <v>93</v>
      </c>
      <c r="C461" s="7" t="s">
        <v>33</v>
      </c>
      <c r="D461" s="10">
        <v>2</v>
      </c>
      <c r="E461" s="7" t="s">
        <v>34</v>
      </c>
      <c r="F461" s="10">
        <v>148</v>
      </c>
      <c r="G461" s="11">
        <v>106</v>
      </c>
      <c r="H461" s="12">
        <f>G461/((F461/100)*(F461/100))</f>
      </c>
      <c r="I461" s="11">
        <f>IF(H461&lt;25,0,IF(H461&lt;30,1,2))</f>
      </c>
      <c r="J461" s="13">
        <v>3</v>
      </c>
      <c r="K461" s="7" t="s">
        <v>72</v>
      </c>
      <c r="L461" s="7" t="s">
        <v>36</v>
      </c>
      <c r="M461" s="7" t="s">
        <v>185</v>
      </c>
      <c r="N461" s="7" t="s">
        <v>38</v>
      </c>
      <c r="O461" s="7" t="s">
        <v>80</v>
      </c>
      <c r="P461" s="7" t="s">
        <v>81</v>
      </c>
      <c r="Q461" s="10">
        <f>IF(P461="None of the above",0,2)</f>
      </c>
      <c r="R461" s="7" t="s">
        <v>56</v>
      </c>
      <c r="S461" s="15" t="s">
        <v>48</v>
      </c>
      <c r="T461" s="7" t="s">
        <v>99</v>
      </c>
      <c r="U461" s="10">
        <f>IF(T461="Heavy physical",0,IF(T461="Moderate activity",1,2))</f>
      </c>
      <c r="V461" s="5" t="s">
        <v>97</v>
      </c>
      <c r="W461" s="10">
        <f>IF(V461="7–8 hours",0,IF(V461="6–7 hours",1,2))</f>
      </c>
      <c r="X461" s="7" t="s">
        <v>45</v>
      </c>
      <c r="Y461" s="7" t="s">
        <v>46</v>
      </c>
      <c r="Z461" s="7" t="s">
        <v>65</v>
      </c>
      <c r="AA461" s="7" t="s">
        <v>48</v>
      </c>
      <c r="AB461" s="7" t="s">
        <v>48</v>
      </c>
      <c r="AC461" s="7" t="s">
        <v>48</v>
      </c>
      <c r="AD461" s="10">
        <f>I461 + Q461 + U461 + W461</f>
      </c>
      <c r="AE461" s="10">
        <f>IF(AD461&lt;=2,0,IF(AD461&lt;=5,1,2))</f>
      </c>
      <c r="AF461" s="7"/>
    </row>
    <row x14ac:dyDescent="0.25" r="462" customHeight="1" ht="17.25" hidden="1">
      <c r="A462" s="7" t="s">
        <v>76</v>
      </c>
      <c r="B462" s="7" t="s">
        <v>59</v>
      </c>
      <c r="C462" s="7" t="s">
        <v>60</v>
      </c>
      <c r="D462" s="10">
        <v>5</v>
      </c>
      <c r="E462" s="7" t="s">
        <v>34</v>
      </c>
      <c r="F462" s="10">
        <v>172</v>
      </c>
      <c r="G462" s="11">
        <v>117</v>
      </c>
      <c r="H462" s="12">
        <f>G462/((F462/100)*(F462/100))</f>
      </c>
      <c r="I462" s="11">
        <f>IF(H462&lt;25,0,IF(H462&lt;30,1,2))</f>
      </c>
      <c r="J462" s="13">
        <v>3</v>
      </c>
      <c r="K462" s="7" t="s">
        <v>86</v>
      </c>
      <c r="L462" s="7" t="s">
        <v>137</v>
      </c>
      <c r="M462" s="7" t="s">
        <v>185</v>
      </c>
      <c r="N462" s="7" t="s">
        <v>38</v>
      </c>
      <c r="O462" s="7" t="s">
        <v>74</v>
      </c>
      <c r="P462" s="7" t="s">
        <v>40</v>
      </c>
      <c r="Q462" s="10">
        <f>IF(P462="None of the above",0,2)</f>
      </c>
      <c r="R462" s="7" t="s">
        <v>89</v>
      </c>
      <c r="S462" s="15" t="s">
        <v>48</v>
      </c>
      <c r="T462" s="15" t="s">
        <v>96</v>
      </c>
      <c r="U462" s="10">
        <f>IF(T462="Heavy physical",0,IF(T462="Moderate activity",1,2))</f>
      </c>
      <c r="V462" s="5" t="s">
        <v>97</v>
      </c>
      <c r="W462" s="10">
        <f>IF(V462="7–8 hours",0,IF(V462="6–7 hours",1,2))</f>
      </c>
      <c r="X462" s="15" t="s">
        <v>45</v>
      </c>
      <c r="Y462" s="15" t="s">
        <v>64</v>
      </c>
      <c r="Z462" s="7" t="s">
        <v>65</v>
      </c>
      <c r="AA462" s="7" t="s">
        <v>48</v>
      </c>
      <c r="AB462" s="7" t="s">
        <v>42</v>
      </c>
      <c r="AC462" s="7" t="s">
        <v>48</v>
      </c>
      <c r="AD462" s="10">
        <f>I462 + Q462 + U462 + W462</f>
      </c>
      <c r="AE462" s="10">
        <f>IF(AD462&lt;=2,0,IF(AD462&lt;=5,1,2))</f>
      </c>
      <c r="AF462" s="7"/>
    </row>
    <row x14ac:dyDescent="0.25" r="463" customHeight="1" ht="17.25" hidden="1">
      <c r="A463" s="7" t="s">
        <v>31</v>
      </c>
      <c r="B463" s="7" t="s">
        <v>71</v>
      </c>
      <c r="C463" s="7" t="s">
        <v>226</v>
      </c>
      <c r="D463" s="10">
        <v>5</v>
      </c>
      <c r="E463" s="7" t="s">
        <v>34</v>
      </c>
      <c r="F463" s="10">
        <v>145</v>
      </c>
      <c r="G463" s="11">
        <v>75</v>
      </c>
      <c r="H463" s="12">
        <f>G463/((F463/100)*(F463/100))</f>
      </c>
      <c r="I463" s="11">
        <f>IF(H463&lt;25,0,IF(H463&lt;30,1,2))</f>
      </c>
      <c r="J463" s="13">
        <v>3</v>
      </c>
      <c r="K463" s="7" t="s">
        <v>35</v>
      </c>
      <c r="L463" s="7" t="s">
        <v>90</v>
      </c>
      <c r="M463" s="7" t="s">
        <v>185</v>
      </c>
      <c r="N463" s="7" t="s">
        <v>38</v>
      </c>
      <c r="O463" s="7" t="s">
        <v>39</v>
      </c>
      <c r="P463" s="7" t="s">
        <v>81</v>
      </c>
      <c r="Q463" s="10">
        <f>IF(P463="None of the above",0,2)</f>
      </c>
      <c r="R463" s="7" t="s">
        <v>89</v>
      </c>
      <c r="S463" s="15" t="s">
        <v>42</v>
      </c>
      <c r="T463" s="7" t="s">
        <v>96</v>
      </c>
      <c r="U463" s="10">
        <f>IF(T463="Heavy physical",0,IF(T463="Moderate activity",1,2))</f>
      </c>
      <c r="V463" s="5" t="s">
        <v>44</v>
      </c>
      <c r="W463" s="10">
        <f>IF(V463="7–8 hours",0,IF(V463="6–7 hours",1,2))</f>
      </c>
      <c r="X463" s="15" t="s">
        <v>45</v>
      </c>
      <c r="Y463" s="7" t="s">
        <v>46</v>
      </c>
      <c r="Z463" s="7" t="s">
        <v>92</v>
      </c>
      <c r="AA463" s="7" t="s">
        <v>42</v>
      </c>
      <c r="AB463" s="7" t="s">
        <v>48</v>
      </c>
      <c r="AC463" s="7" t="s">
        <v>42</v>
      </c>
      <c r="AD463" s="10">
        <f>I463 + Q463 + U463 + W463</f>
      </c>
      <c r="AE463" s="10">
        <f>IF(AD463&lt;=2,0,IF(AD463&lt;=5,1,2))</f>
      </c>
      <c r="AF463" s="7"/>
    </row>
    <row x14ac:dyDescent="0.25" r="464" customHeight="1" ht="17.25" hidden="1">
      <c r="A464" s="7" t="s">
        <v>76</v>
      </c>
      <c r="B464" s="7" t="s">
        <v>71</v>
      </c>
      <c r="C464" s="7" t="s">
        <v>33</v>
      </c>
      <c r="D464" s="10">
        <v>3</v>
      </c>
      <c r="E464" s="7" t="s">
        <v>51</v>
      </c>
      <c r="F464" s="10">
        <v>180</v>
      </c>
      <c r="G464" s="11">
        <v>56</v>
      </c>
      <c r="H464" s="12">
        <f>G464/((F464/100)*(F464/100))</f>
      </c>
      <c r="I464" s="11">
        <f>IF(H464&lt;25,0,IF(H464&lt;30,1,2))</f>
      </c>
      <c r="J464" s="13">
        <v>2</v>
      </c>
      <c r="K464" s="7" t="s">
        <v>86</v>
      </c>
      <c r="L464" s="7" t="s">
        <v>184</v>
      </c>
      <c r="M464" s="7" t="s">
        <v>54</v>
      </c>
      <c r="N464" s="7" t="s">
        <v>38</v>
      </c>
      <c r="O464" s="7" t="s">
        <v>74</v>
      </c>
      <c r="P464" s="7" t="s">
        <v>40</v>
      </c>
      <c r="Q464" s="10">
        <f>IF(P464="None of the above",0,2)</f>
      </c>
      <c r="R464" s="7" t="s">
        <v>56</v>
      </c>
      <c r="S464" s="15" t="s">
        <v>42</v>
      </c>
      <c r="T464" s="7" t="s">
        <v>96</v>
      </c>
      <c r="U464" s="10">
        <f>IF(T464="Heavy physical",0,IF(T464="Moderate activity",1,2))</f>
      </c>
      <c r="V464" s="5" t="s">
        <v>69</v>
      </c>
      <c r="W464" s="10">
        <f>IF(V464="7–8 hours",0,IF(V464="6–7 hours",1,2))</f>
      </c>
      <c r="X464" s="15" t="s">
        <v>45</v>
      </c>
      <c r="Y464" s="7" t="s">
        <v>58</v>
      </c>
      <c r="Z464" s="7" t="s">
        <v>65</v>
      </c>
      <c r="AA464" s="7" t="s">
        <v>42</v>
      </c>
      <c r="AB464" s="7" t="s">
        <v>42</v>
      </c>
      <c r="AC464" s="7" t="s">
        <v>42</v>
      </c>
      <c r="AD464" s="10">
        <f>I464 + Q464 + U464 + W464</f>
      </c>
      <c r="AE464" s="10">
        <f>IF(AD464&lt;=2,0,IF(AD464&lt;=5,1,2))</f>
      </c>
      <c r="AF464" s="7"/>
    </row>
    <row x14ac:dyDescent="0.25" r="465" customHeight="1" ht="17.25" hidden="1">
      <c r="A465" s="7" t="s">
        <v>76</v>
      </c>
      <c r="B465" s="7" t="s">
        <v>59</v>
      </c>
      <c r="C465" s="7" t="s">
        <v>226</v>
      </c>
      <c r="D465" s="10">
        <v>5</v>
      </c>
      <c r="E465" s="7" t="s">
        <v>34</v>
      </c>
      <c r="F465" s="10">
        <v>142</v>
      </c>
      <c r="G465" s="11">
        <v>110</v>
      </c>
      <c r="H465" s="12">
        <f>G465/((F465/100)*(F465/100))</f>
      </c>
      <c r="I465" s="11">
        <f>IF(H465&lt;25,0,IF(H465&lt;30,1,2))</f>
      </c>
      <c r="J465" s="13">
        <v>2</v>
      </c>
      <c r="K465" s="7" t="s">
        <v>61</v>
      </c>
      <c r="L465" s="7" t="s">
        <v>129</v>
      </c>
      <c r="M465" s="7" t="s">
        <v>185</v>
      </c>
      <c r="N465" s="7" t="s">
        <v>38</v>
      </c>
      <c r="O465" s="7" t="s">
        <v>74</v>
      </c>
      <c r="P465" s="7" t="s">
        <v>81</v>
      </c>
      <c r="Q465" s="10">
        <f>IF(P465="None of the above",0,2)</f>
      </c>
      <c r="R465" s="7" t="s">
        <v>89</v>
      </c>
      <c r="S465" s="15" t="s">
        <v>48</v>
      </c>
      <c r="T465" s="7" t="s">
        <v>99</v>
      </c>
      <c r="U465" s="10">
        <f>IF(T465="Heavy physical",0,IF(T465="Moderate activity",1,2))</f>
      </c>
      <c r="V465" s="5" t="s">
        <v>97</v>
      </c>
      <c r="W465" s="10">
        <f>IF(V465="7–8 hours",0,IF(V465="6–7 hours",1,2))</f>
      </c>
      <c r="X465" s="15" t="s">
        <v>45</v>
      </c>
      <c r="Y465" s="15" t="s">
        <v>64</v>
      </c>
      <c r="Z465" s="7" t="s">
        <v>45</v>
      </c>
      <c r="AA465" s="7" t="s">
        <v>42</v>
      </c>
      <c r="AB465" s="7" t="s">
        <v>48</v>
      </c>
      <c r="AC465" s="7" t="s">
        <v>48</v>
      </c>
      <c r="AD465" s="10">
        <f>I465 + Q465 + U465 + W465</f>
      </c>
      <c r="AE465" s="10">
        <f>IF(AD465&lt;=2,0,IF(AD465&lt;=5,1,2))</f>
      </c>
      <c r="AF465" s="7"/>
    </row>
    <row x14ac:dyDescent="0.25" r="466" customHeight="1" ht="17.25" hidden="1">
      <c r="A466" s="7" t="s">
        <v>31</v>
      </c>
      <c r="B466" s="7" t="s">
        <v>77</v>
      </c>
      <c r="C466" s="7" t="s">
        <v>60</v>
      </c>
      <c r="D466" s="10">
        <v>7</v>
      </c>
      <c r="E466" s="7" t="s">
        <v>51</v>
      </c>
      <c r="F466" s="10">
        <v>173</v>
      </c>
      <c r="G466" s="11">
        <v>49</v>
      </c>
      <c r="H466" s="12">
        <f>G466/((F466/100)*(F466/100))</f>
      </c>
      <c r="I466" s="11">
        <f>IF(H466&lt;25,0,IF(H466&lt;30,1,2))</f>
      </c>
      <c r="J466" s="13">
        <v>3</v>
      </c>
      <c r="K466" s="7" t="s">
        <v>35</v>
      </c>
      <c r="L466" s="7" t="s">
        <v>88</v>
      </c>
      <c r="M466" s="7" t="s">
        <v>185</v>
      </c>
      <c r="N466" s="7" t="s">
        <v>38</v>
      </c>
      <c r="O466" s="7" t="s">
        <v>74</v>
      </c>
      <c r="P466" s="7" t="s">
        <v>81</v>
      </c>
      <c r="Q466" s="10">
        <f>IF(P466="None of the above",0,2)</f>
      </c>
      <c r="R466" s="7" t="s">
        <v>56</v>
      </c>
      <c r="S466" s="15" t="s">
        <v>42</v>
      </c>
      <c r="T466" s="15" t="s">
        <v>96</v>
      </c>
      <c r="U466" s="10">
        <f>IF(T466="Heavy physical",0,IF(T466="Moderate activity",1,2))</f>
      </c>
      <c r="V466" s="5" t="s">
        <v>57</v>
      </c>
      <c r="W466" s="10">
        <f>IF(V466="7–8 hours",0,IF(V466="6–7 hours",1,2))</f>
      </c>
      <c r="X466" s="15" t="s">
        <v>45</v>
      </c>
      <c r="Y466" s="7" t="s">
        <v>46</v>
      </c>
      <c r="Z466" s="7" t="s">
        <v>45</v>
      </c>
      <c r="AA466" s="7" t="s">
        <v>42</v>
      </c>
      <c r="AB466" s="7" t="s">
        <v>42</v>
      </c>
      <c r="AC466" s="7" t="s">
        <v>42</v>
      </c>
      <c r="AD466" s="10">
        <f>I466 + Q466 + U466 + W466</f>
      </c>
      <c r="AE466" s="10">
        <f>IF(AD466&lt;=2,0,IF(AD466&lt;=5,1,2))</f>
      </c>
      <c r="AF466" s="7"/>
    </row>
    <row x14ac:dyDescent="0.25" r="467" customHeight="1" ht="17.25" hidden="1">
      <c r="A467" s="7" t="s">
        <v>49</v>
      </c>
      <c r="B467" s="7" t="s">
        <v>77</v>
      </c>
      <c r="C467" s="15" t="s">
        <v>50</v>
      </c>
      <c r="D467" s="10">
        <v>3</v>
      </c>
      <c r="E467" s="7" t="s">
        <v>51</v>
      </c>
      <c r="F467" s="10">
        <v>197</v>
      </c>
      <c r="G467" s="11">
        <v>103</v>
      </c>
      <c r="H467" s="12">
        <f>G467/((F467/100)*(F467/100))</f>
      </c>
      <c r="I467" s="11">
        <f>IF(H467&lt;25,0,IF(H467&lt;30,1,2))</f>
      </c>
      <c r="J467" s="13">
        <v>2</v>
      </c>
      <c r="K467" s="7" t="s">
        <v>52</v>
      </c>
      <c r="L467" s="7" t="s">
        <v>108</v>
      </c>
      <c r="M467" s="7" t="s">
        <v>185</v>
      </c>
      <c r="N467" s="7" t="s">
        <v>38</v>
      </c>
      <c r="O467" s="7" t="s">
        <v>80</v>
      </c>
      <c r="P467" s="7" t="s">
        <v>40</v>
      </c>
      <c r="Q467" s="10">
        <f>IF(P467="None of the above",0,2)</f>
      </c>
      <c r="R467" s="7" t="s">
        <v>89</v>
      </c>
      <c r="S467" s="15" t="s">
        <v>48</v>
      </c>
      <c r="T467" s="7" t="s">
        <v>96</v>
      </c>
      <c r="U467" s="10">
        <f>IF(T467="Heavy physical",0,IF(T467="Moderate activity",1,2))</f>
      </c>
      <c r="V467" s="5" t="s">
        <v>69</v>
      </c>
      <c r="W467" s="10">
        <f>IF(V467="7–8 hours",0,IF(V467="6–7 hours",1,2))</f>
      </c>
      <c r="X467" s="15" t="s">
        <v>45</v>
      </c>
      <c r="Y467" s="15" t="s">
        <v>64</v>
      </c>
      <c r="Z467" s="7" t="s">
        <v>47</v>
      </c>
      <c r="AA467" s="7" t="s">
        <v>42</v>
      </c>
      <c r="AB467" s="7" t="s">
        <v>42</v>
      </c>
      <c r="AC467" s="7" t="s">
        <v>42</v>
      </c>
      <c r="AD467" s="10">
        <f>I467 + Q467 + U467 + W467</f>
      </c>
      <c r="AE467" s="10">
        <f>IF(AD467&lt;=2,0,IF(AD467&lt;=5,1,2))</f>
      </c>
      <c r="AF467" s="7"/>
    </row>
    <row x14ac:dyDescent="0.25" r="468" customHeight="1" ht="17.25" hidden="1">
      <c r="A468" s="7" t="s">
        <v>228</v>
      </c>
      <c r="B468" s="7" t="s">
        <v>93</v>
      </c>
      <c r="C468" s="15" t="s">
        <v>50</v>
      </c>
      <c r="D468" s="10">
        <v>7</v>
      </c>
      <c r="E468" s="7" t="s">
        <v>34</v>
      </c>
      <c r="F468" s="10">
        <v>200</v>
      </c>
      <c r="G468" s="11">
        <v>89</v>
      </c>
      <c r="H468" s="12">
        <f>G468/((F468/100)*(F468/100))</f>
      </c>
      <c r="I468" s="11">
        <f>IF(H468&lt;25,0,IF(H468&lt;30,1,2))</f>
      </c>
      <c r="J468" s="13">
        <v>2</v>
      </c>
      <c r="K468" s="7" t="s">
        <v>52</v>
      </c>
      <c r="L468" s="7" t="s">
        <v>170</v>
      </c>
      <c r="M468" s="7" t="s">
        <v>185</v>
      </c>
      <c r="N468" s="7" t="s">
        <v>38</v>
      </c>
      <c r="O468" s="7" t="s">
        <v>68</v>
      </c>
      <c r="P468" s="7" t="s">
        <v>81</v>
      </c>
      <c r="Q468" s="10">
        <f>IF(P468="None of the above",0,2)</f>
      </c>
      <c r="R468" s="7" t="s">
        <v>56</v>
      </c>
      <c r="S468" s="15" t="s">
        <v>48</v>
      </c>
      <c r="T468" s="7" t="s">
        <v>99</v>
      </c>
      <c r="U468" s="10">
        <f>IF(T468="Heavy physical",0,IF(T468="Moderate activity",1,2))</f>
      </c>
      <c r="V468" s="5" t="s">
        <v>97</v>
      </c>
      <c r="W468" s="10">
        <f>IF(V468="7–8 hours",0,IF(V468="6–7 hours",1,2))</f>
      </c>
      <c r="X468" s="15" t="s">
        <v>45</v>
      </c>
      <c r="Y468" s="7" t="s">
        <v>58</v>
      </c>
      <c r="Z468" s="7" t="s">
        <v>47</v>
      </c>
      <c r="AA468" s="7" t="s">
        <v>42</v>
      </c>
      <c r="AB468" s="7" t="s">
        <v>42</v>
      </c>
      <c r="AC468" s="7" t="s">
        <v>42</v>
      </c>
      <c r="AD468" s="10">
        <f>I468 + Q468 + U468 + W468</f>
      </c>
      <c r="AE468" s="10">
        <f>IF(AD468&lt;=2,0,IF(AD468&lt;=5,1,2))</f>
      </c>
      <c r="AF468" s="7"/>
    </row>
    <row x14ac:dyDescent="0.25" r="469" customHeight="1" ht="17.25" hidden="1">
      <c r="A469" s="7" t="s">
        <v>76</v>
      </c>
      <c r="B469" s="7" t="s">
        <v>66</v>
      </c>
      <c r="C469" s="7" t="s">
        <v>226</v>
      </c>
      <c r="D469" s="10">
        <v>7</v>
      </c>
      <c r="E469" s="7" t="s">
        <v>34</v>
      </c>
      <c r="F469" s="10">
        <v>158</v>
      </c>
      <c r="G469" s="11">
        <v>48</v>
      </c>
      <c r="H469" s="12">
        <f>G469/((F469/100)*(F469/100))</f>
      </c>
      <c r="I469" s="11">
        <f>IF(H469&lt;25,0,IF(H469&lt;30,1,2))</f>
      </c>
      <c r="J469" s="13">
        <v>3</v>
      </c>
      <c r="K469" s="7" t="s">
        <v>105</v>
      </c>
      <c r="L469" s="7" t="s">
        <v>123</v>
      </c>
      <c r="M469" s="7" t="s">
        <v>185</v>
      </c>
      <c r="N469" s="7" t="s">
        <v>38</v>
      </c>
      <c r="O469" s="7" t="s">
        <v>68</v>
      </c>
      <c r="P469" s="7" t="s">
        <v>81</v>
      </c>
      <c r="Q469" s="10">
        <f>IF(P469="None of the above",0,2)</f>
      </c>
      <c r="R469" s="7" t="s">
        <v>56</v>
      </c>
      <c r="S469" s="15" t="s">
        <v>42</v>
      </c>
      <c r="T469" s="7" t="s">
        <v>96</v>
      </c>
      <c r="U469" s="10">
        <f>IF(T469="Heavy physical",0,IF(T469="Moderate activity",1,2))</f>
      </c>
      <c r="V469" s="5" t="s">
        <v>97</v>
      </c>
      <c r="W469" s="10">
        <f>IF(V469="7–8 hours",0,IF(V469="6–7 hours",1,2))</f>
      </c>
      <c r="X469" s="15" t="s">
        <v>45</v>
      </c>
      <c r="Y469" s="7" t="s">
        <v>46</v>
      </c>
      <c r="Z469" s="7" t="s">
        <v>47</v>
      </c>
      <c r="AA469" s="7" t="s">
        <v>48</v>
      </c>
      <c r="AB469" s="7" t="s">
        <v>48</v>
      </c>
      <c r="AC469" s="7" t="s">
        <v>48</v>
      </c>
      <c r="AD469" s="10">
        <f>I469 + Q469 + U469 + W469</f>
      </c>
      <c r="AE469" s="10">
        <f>IF(AD469&lt;=2,0,IF(AD469&lt;=5,1,2))</f>
      </c>
      <c r="AF469" s="7"/>
    </row>
    <row x14ac:dyDescent="0.25" r="470" customHeight="1" ht="17.25" hidden="1">
      <c r="A470" s="7" t="s">
        <v>49</v>
      </c>
      <c r="B470" s="7" t="s">
        <v>93</v>
      </c>
      <c r="C470" s="15" t="s">
        <v>50</v>
      </c>
      <c r="D470" s="10">
        <v>5</v>
      </c>
      <c r="E470" s="7" t="s">
        <v>51</v>
      </c>
      <c r="F470" s="10">
        <v>140</v>
      </c>
      <c r="G470" s="11">
        <v>53</v>
      </c>
      <c r="H470" s="12">
        <f>G470/((F470/100)*(F470/100))</f>
      </c>
      <c r="I470" s="11">
        <f>IF(H470&lt;25,0,IF(H470&lt;30,1,2))</f>
      </c>
      <c r="J470" s="13">
        <v>3</v>
      </c>
      <c r="K470" s="7" t="s">
        <v>35</v>
      </c>
      <c r="L470" s="7" t="s">
        <v>222</v>
      </c>
      <c r="M470" s="7" t="s">
        <v>54</v>
      </c>
      <c r="N470" s="7" t="s">
        <v>38</v>
      </c>
      <c r="O470" s="7" t="s">
        <v>39</v>
      </c>
      <c r="P470" s="7" t="s">
        <v>81</v>
      </c>
      <c r="Q470" s="10">
        <f>IF(P470="None of the above",0,2)</f>
      </c>
      <c r="R470" s="7" t="s">
        <v>56</v>
      </c>
      <c r="S470" s="15" t="s">
        <v>48</v>
      </c>
      <c r="T470" s="7" t="s">
        <v>99</v>
      </c>
      <c r="U470" s="10">
        <f>IF(T470="Heavy physical",0,IF(T470="Moderate activity",1,2))</f>
      </c>
      <c r="V470" s="5" t="s">
        <v>69</v>
      </c>
      <c r="W470" s="10">
        <f>IF(V470="7–8 hours",0,IF(V470="6–7 hours",1,2))</f>
      </c>
      <c r="X470" s="15" t="s">
        <v>45</v>
      </c>
      <c r="Y470" s="7" t="s">
        <v>58</v>
      </c>
      <c r="Z470" s="7" t="s">
        <v>65</v>
      </c>
      <c r="AA470" s="7" t="s">
        <v>42</v>
      </c>
      <c r="AB470" s="7" t="s">
        <v>42</v>
      </c>
      <c r="AC470" s="7" t="s">
        <v>42</v>
      </c>
      <c r="AD470" s="10">
        <f>I470 + Q470 + U470 + W470</f>
      </c>
      <c r="AE470" s="10">
        <f>IF(AD470&lt;=2,0,IF(AD470&lt;=5,1,2))</f>
      </c>
      <c r="AF470" s="7"/>
    </row>
    <row x14ac:dyDescent="0.25" r="471" customHeight="1" ht="17.25" hidden="1">
      <c r="A471" s="7" t="s">
        <v>49</v>
      </c>
      <c r="B471" s="7" t="s">
        <v>66</v>
      </c>
      <c r="C471" s="7" t="s">
        <v>110</v>
      </c>
      <c r="D471" s="10">
        <v>3</v>
      </c>
      <c r="E471" s="7" t="s">
        <v>34</v>
      </c>
      <c r="F471" s="10">
        <v>180</v>
      </c>
      <c r="G471" s="11">
        <v>45</v>
      </c>
      <c r="H471" s="12">
        <f>G471/((F471/100)*(F471/100))</f>
      </c>
      <c r="I471" s="11">
        <f>IF(H471&lt;25,0,IF(H471&lt;30,1,2))</f>
      </c>
      <c r="J471" s="13">
        <v>3</v>
      </c>
      <c r="K471" s="7" t="s">
        <v>72</v>
      </c>
      <c r="L471" s="7" t="s">
        <v>147</v>
      </c>
      <c r="M471" s="7" t="s">
        <v>54</v>
      </c>
      <c r="N471" s="7" t="s">
        <v>38</v>
      </c>
      <c r="O471" s="7" t="s">
        <v>74</v>
      </c>
      <c r="P471" s="7" t="s">
        <v>40</v>
      </c>
      <c r="Q471" s="10">
        <f>IF(P471="None of the above",0,2)</f>
      </c>
      <c r="R471" s="7" t="s">
        <v>89</v>
      </c>
      <c r="S471" s="15" t="s">
        <v>48</v>
      </c>
      <c r="T471" s="15" t="s">
        <v>96</v>
      </c>
      <c r="U471" s="10">
        <f>IF(T471="Heavy physical",0,IF(T471="Moderate activity",1,2))</f>
      </c>
      <c r="V471" s="5" t="s">
        <v>69</v>
      </c>
      <c r="W471" s="10">
        <f>IF(V471="7–8 hours",0,IF(V471="6–7 hours",1,2))</f>
      </c>
      <c r="X471" s="15" t="s">
        <v>45</v>
      </c>
      <c r="Y471" s="7" t="s">
        <v>58</v>
      </c>
      <c r="Z471" s="7" t="s">
        <v>47</v>
      </c>
      <c r="AA471" s="7" t="s">
        <v>48</v>
      </c>
      <c r="AB471" s="7" t="s">
        <v>42</v>
      </c>
      <c r="AC471" s="7" t="s">
        <v>48</v>
      </c>
      <c r="AD471" s="10">
        <f>I471 + Q471 + U471 + W471</f>
      </c>
      <c r="AE471" s="10">
        <f>IF(AD471&lt;=2,0,IF(AD471&lt;=5,1,2))</f>
      </c>
      <c r="AF471" s="7"/>
    </row>
    <row x14ac:dyDescent="0.25" r="472" customHeight="1" ht="17.25" hidden="1">
      <c r="A472" s="7" t="s">
        <v>130</v>
      </c>
      <c r="B472" s="7" t="s">
        <v>66</v>
      </c>
      <c r="C472" s="7" t="s">
        <v>33</v>
      </c>
      <c r="D472" s="10">
        <v>7</v>
      </c>
      <c r="E472" s="7" t="s">
        <v>51</v>
      </c>
      <c r="F472" s="10">
        <v>174</v>
      </c>
      <c r="G472" s="11">
        <v>47</v>
      </c>
      <c r="H472" s="12">
        <f>G472/((F472/100)*(F472/100))</f>
      </c>
      <c r="I472" s="11">
        <f>IF(H472&lt;25,0,IF(H472&lt;30,1,2))</f>
      </c>
      <c r="J472" s="13">
        <v>1</v>
      </c>
      <c r="K472" s="7" t="s">
        <v>72</v>
      </c>
      <c r="L472" s="7" t="s">
        <v>79</v>
      </c>
      <c r="M472" s="7" t="s">
        <v>54</v>
      </c>
      <c r="N472" s="7" t="s">
        <v>38</v>
      </c>
      <c r="O472" s="7" t="s">
        <v>80</v>
      </c>
      <c r="P472" s="7" t="s">
        <v>81</v>
      </c>
      <c r="Q472" s="10">
        <f>IF(P472="None of the above",0,2)</f>
      </c>
      <c r="R472" s="7" t="s">
        <v>56</v>
      </c>
      <c r="S472" s="15" t="s">
        <v>42</v>
      </c>
      <c r="T472" s="7" t="s">
        <v>96</v>
      </c>
      <c r="U472" s="10">
        <f>IF(T472="Heavy physical",0,IF(T472="Moderate activity",1,2))</f>
      </c>
      <c r="V472" s="5" t="s">
        <v>69</v>
      </c>
      <c r="W472" s="10">
        <f>IF(V472="7–8 hours",0,IF(V472="6–7 hours",1,2))</f>
      </c>
      <c r="X472" s="15" t="s">
        <v>45</v>
      </c>
      <c r="Y472" s="15" t="s">
        <v>75</v>
      </c>
      <c r="Z472" s="7" t="s">
        <v>92</v>
      </c>
      <c r="AA472" s="7" t="s">
        <v>42</v>
      </c>
      <c r="AB472" s="7" t="s">
        <v>42</v>
      </c>
      <c r="AC472" s="7" t="s">
        <v>42</v>
      </c>
      <c r="AD472" s="10">
        <f>I472 + Q472 + U472 + W472</f>
      </c>
      <c r="AE472" s="10">
        <f>IF(AD472&lt;=2,0,IF(AD472&lt;=5,1,2))</f>
      </c>
      <c r="AF472" s="7"/>
    </row>
    <row x14ac:dyDescent="0.25" r="473" customHeight="1" ht="17.25" hidden="1">
      <c r="A473" s="7" t="s">
        <v>76</v>
      </c>
      <c r="B473" s="7" t="s">
        <v>59</v>
      </c>
      <c r="C473" s="7" t="s">
        <v>60</v>
      </c>
      <c r="D473" s="10">
        <v>2</v>
      </c>
      <c r="E473" s="7" t="s">
        <v>34</v>
      </c>
      <c r="F473" s="10">
        <v>147</v>
      </c>
      <c r="G473" s="11">
        <v>68</v>
      </c>
      <c r="H473" s="12">
        <f>G473/((F473/100)*(F473/100))</f>
      </c>
      <c r="I473" s="11">
        <f>IF(H473&lt;25,0,IF(H473&lt;30,1,2))</f>
      </c>
      <c r="J473" s="13">
        <v>2</v>
      </c>
      <c r="K473" s="7" t="s">
        <v>52</v>
      </c>
      <c r="L473" s="7" t="s">
        <v>147</v>
      </c>
      <c r="M473" s="7" t="s">
        <v>185</v>
      </c>
      <c r="N473" s="7" t="s">
        <v>38</v>
      </c>
      <c r="O473" s="7" t="s">
        <v>68</v>
      </c>
      <c r="P473" s="7" t="s">
        <v>81</v>
      </c>
      <c r="Q473" s="10">
        <f>IF(P473="None of the above",0,2)</f>
      </c>
      <c r="R473" s="7" t="s">
        <v>89</v>
      </c>
      <c r="S473" s="15" t="s">
        <v>48</v>
      </c>
      <c r="T473" s="15" t="s">
        <v>96</v>
      </c>
      <c r="U473" s="10">
        <f>IF(T473="Heavy physical",0,IF(T473="Moderate activity",1,2))</f>
      </c>
      <c r="V473" s="5" t="s">
        <v>69</v>
      </c>
      <c r="W473" s="10">
        <f>IF(V473="7–8 hours",0,IF(V473="6–7 hours",1,2))</f>
      </c>
      <c r="X473" s="15" t="s">
        <v>45</v>
      </c>
      <c r="Y473" s="7" t="s">
        <v>46</v>
      </c>
      <c r="Z473" s="7" t="s">
        <v>65</v>
      </c>
      <c r="AA473" s="7" t="s">
        <v>42</v>
      </c>
      <c r="AB473" s="7" t="s">
        <v>48</v>
      </c>
      <c r="AC473" s="7" t="s">
        <v>42</v>
      </c>
      <c r="AD473" s="10">
        <f>I473 + Q473 + U473 + W473</f>
      </c>
      <c r="AE473" s="10">
        <f>IF(AD473&lt;=2,0,IF(AD473&lt;=5,1,2))</f>
      </c>
      <c r="AF473" s="7"/>
    </row>
    <row x14ac:dyDescent="0.25" r="474" customHeight="1" ht="17.25" hidden="1">
      <c r="A474" s="7" t="s">
        <v>31</v>
      </c>
      <c r="B474" s="7" t="s">
        <v>71</v>
      </c>
      <c r="C474" s="15" t="s">
        <v>50</v>
      </c>
      <c r="D474" s="10">
        <v>8</v>
      </c>
      <c r="E474" s="7" t="s">
        <v>51</v>
      </c>
      <c r="F474" s="10">
        <v>199</v>
      </c>
      <c r="G474" s="11">
        <v>74</v>
      </c>
      <c r="H474" s="12">
        <f>G474/((F474/100)*(F474/100))</f>
      </c>
      <c r="I474" s="11">
        <f>IF(H474&lt;25,0,IF(H474&lt;30,1,2))</f>
      </c>
      <c r="J474" s="13">
        <v>2</v>
      </c>
      <c r="K474" s="7" t="s">
        <v>86</v>
      </c>
      <c r="L474" s="7" t="s">
        <v>113</v>
      </c>
      <c r="M474" s="7" t="s">
        <v>185</v>
      </c>
      <c r="N474" s="7" t="s">
        <v>38</v>
      </c>
      <c r="O474" s="7" t="s">
        <v>68</v>
      </c>
      <c r="P474" s="7" t="s">
        <v>81</v>
      </c>
      <c r="Q474" s="10">
        <f>IF(P474="None of the above",0,2)</f>
      </c>
      <c r="R474" s="7" t="s">
        <v>89</v>
      </c>
      <c r="S474" s="15" t="s">
        <v>48</v>
      </c>
      <c r="T474" s="7" t="s">
        <v>96</v>
      </c>
      <c r="U474" s="10">
        <f>IF(T474="Heavy physical",0,IF(T474="Moderate activity",1,2))</f>
      </c>
      <c r="V474" s="5" t="s">
        <v>57</v>
      </c>
      <c r="W474" s="10">
        <f>IF(V474="7–8 hours",0,IF(V474="6–7 hours",1,2))</f>
      </c>
      <c r="X474" s="15" t="s">
        <v>45</v>
      </c>
      <c r="Y474" s="15" t="s">
        <v>64</v>
      </c>
      <c r="Z474" s="7" t="s">
        <v>65</v>
      </c>
      <c r="AA474" s="7" t="s">
        <v>42</v>
      </c>
      <c r="AB474" s="7" t="s">
        <v>42</v>
      </c>
      <c r="AC474" s="7" t="s">
        <v>42</v>
      </c>
      <c r="AD474" s="10">
        <f>I474 + Q474 + U474 + W474</f>
      </c>
      <c r="AE474" s="10">
        <f>IF(AD474&lt;=2,0,IF(AD474&lt;=5,1,2))</f>
      </c>
      <c r="AF474" s="7"/>
    </row>
    <row x14ac:dyDescent="0.25" r="475" customHeight="1" ht="17.25" hidden="1">
      <c r="A475" s="7" t="s">
        <v>31</v>
      </c>
      <c r="B475" s="7" t="s">
        <v>59</v>
      </c>
      <c r="C475" s="7" t="s">
        <v>60</v>
      </c>
      <c r="D475" s="10">
        <v>7</v>
      </c>
      <c r="E475" s="7" t="s">
        <v>51</v>
      </c>
      <c r="F475" s="10">
        <v>179</v>
      </c>
      <c r="G475" s="11">
        <v>67</v>
      </c>
      <c r="H475" s="12">
        <f>G475/((F475/100)*(F475/100))</f>
      </c>
      <c r="I475" s="11">
        <f>IF(H475&lt;25,0,IF(H475&lt;30,1,2))</f>
      </c>
      <c r="J475" s="13">
        <v>1</v>
      </c>
      <c r="K475" s="7" t="s">
        <v>86</v>
      </c>
      <c r="L475" s="7" t="s">
        <v>129</v>
      </c>
      <c r="M475" s="7" t="s">
        <v>41</v>
      </c>
      <c r="N475" s="7" t="s">
        <v>38</v>
      </c>
      <c r="O475" s="7" t="s">
        <v>63</v>
      </c>
      <c r="P475" s="7" t="s">
        <v>40</v>
      </c>
      <c r="Q475" s="10">
        <f>IF(P475="None of the above",0,2)</f>
      </c>
      <c r="R475" s="7" t="s">
        <v>89</v>
      </c>
      <c r="S475" s="15" t="s">
        <v>42</v>
      </c>
      <c r="T475" s="7" t="s">
        <v>99</v>
      </c>
      <c r="U475" s="10">
        <f>IF(T475="Heavy physical",0,IF(T475="Moderate activity",1,2))</f>
      </c>
      <c r="V475" s="5" t="s">
        <v>69</v>
      </c>
      <c r="W475" s="10">
        <f>IF(V475="7–8 hours",0,IF(V475="6–7 hours",1,2))</f>
      </c>
      <c r="X475" s="15" t="s">
        <v>45</v>
      </c>
      <c r="Y475" s="7" t="s">
        <v>46</v>
      </c>
      <c r="Z475" s="7" t="s">
        <v>45</v>
      </c>
      <c r="AA475" s="7" t="s">
        <v>42</v>
      </c>
      <c r="AB475" s="7" t="s">
        <v>42</v>
      </c>
      <c r="AC475" s="7" t="s">
        <v>42</v>
      </c>
      <c r="AD475" s="10">
        <f>I475 + Q475 + U475 + W475</f>
      </c>
      <c r="AE475" s="10">
        <f>IF(AD475&lt;=2,0,IF(AD475&lt;=5,1,2))</f>
      </c>
      <c r="AF475" s="7"/>
    </row>
    <row x14ac:dyDescent="0.25" r="476" customHeight="1" ht="17.25" hidden="1">
      <c r="A476" s="7" t="s">
        <v>31</v>
      </c>
      <c r="B476" s="7" t="s">
        <v>93</v>
      </c>
      <c r="C476" s="7" t="s">
        <v>33</v>
      </c>
      <c r="D476" s="10">
        <v>7</v>
      </c>
      <c r="E476" s="7" t="s">
        <v>34</v>
      </c>
      <c r="F476" s="10">
        <v>200</v>
      </c>
      <c r="G476" s="11">
        <v>49</v>
      </c>
      <c r="H476" s="12">
        <f>G476/((F476/100)*(F476/100))</f>
      </c>
      <c r="I476" s="11">
        <f>IF(H476&lt;25,0,IF(H476&lt;30,1,2))</f>
      </c>
      <c r="J476" s="13">
        <v>3</v>
      </c>
      <c r="K476" s="7" t="s">
        <v>72</v>
      </c>
      <c r="L476" s="7" t="s">
        <v>147</v>
      </c>
      <c r="M476" s="7" t="s">
        <v>185</v>
      </c>
      <c r="N476" s="7" t="s">
        <v>38</v>
      </c>
      <c r="O476" s="7" t="s">
        <v>39</v>
      </c>
      <c r="P476" s="7" t="s">
        <v>40</v>
      </c>
      <c r="Q476" s="10">
        <f>IF(P476="None of the above",0,2)</f>
      </c>
      <c r="R476" s="7" t="s">
        <v>89</v>
      </c>
      <c r="S476" s="15" t="s">
        <v>48</v>
      </c>
      <c r="T476" s="7" t="s">
        <v>96</v>
      </c>
      <c r="U476" s="10">
        <f>IF(T476="Heavy physical",0,IF(T476="Moderate activity",1,2))</f>
      </c>
      <c r="V476" s="5" t="s">
        <v>97</v>
      </c>
      <c r="W476" s="10">
        <f>IF(V476="7–8 hours",0,IF(V476="6–7 hours",1,2))</f>
      </c>
      <c r="X476" s="15" t="s">
        <v>45</v>
      </c>
      <c r="Y476" s="7" t="s">
        <v>58</v>
      </c>
      <c r="Z476" s="7" t="s">
        <v>65</v>
      </c>
      <c r="AA476" s="7" t="s">
        <v>48</v>
      </c>
      <c r="AB476" s="7" t="s">
        <v>48</v>
      </c>
      <c r="AC476" s="7" t="s">
        <v>48</v>
      </c>
      <c r="AD476" s="10">
        <f>I476 + Q476 + U476 + W476</f>
      </c>
      <c r="AE476" s="10">
        <f>IF(AD476&lt;=2,0,IF(AD476&lt;=5,1,2))</f>
      </c>
      <c r="AF476" s="7"/>
    </row>
    <row x14ac:dyDescent="0.25" r="477" customHeight="1" ht="17.25" hidden="1">
      <c r="A477" s="7" t="s">
        <v>76</v>
      </c>
      <c r="B477" s="7" t="s">
        <v>59</v>
      </c>
      <c r="C477" s="7" t="s">
        <v>120</v>
      </c>
      <c r="D477" s="10">
        <v>2</v>
      </c>
      <c r="E477" s="7" t="s">
        <v>51</v>
      </c>
      <c r="F477" s="10">
        <v>157</v>
      </c>
      <c r="G477" s="11">
        <v>95</v>
      </c>
      <c r="H477" s="12">
        <f>G477/((F477/100)*(F477/100))</f>
      </c>
      <c r="I477" s="11">
        <f>IF(H477&lt;25,0,IF(H477&lt;30,1,2))</f>
      </c>
      <c r="J477" s="13">
        <v>1</v>
      </c>
      <c r="K477" s="7" t="s">
        <v>35</v>
      </c>
      <c r="L477" s="7" t="s">
        <v>108</v>
      </c>
      <c r="M477" s="7" t="s">
        <v>185</v>
      </c>
      <c r="N477" s="7" t="s">
        <v>38</v>
      </c>
      <c r="O477" s="7" t="s">
        <v>68</v>
      </c>
      <c r="P477" s="7" t="s">
        <v>81</v>
      </c>
      <c r="Q477" s="10">
        <f>IF(P477="None of the above",0,2)</f>
      </c>
      <c r="R477" s="7" t="s">
        <v>56</v>
      </c>
      <c r="S477" s="15" t="s">
        <v>48</v>
      </c>
      <c r="T477" s="7" t="s">
        <v>99</v>
      </c>
      <c r="U477" s="10">
        <f>IF(T477="Heavy physical",0,IF(T477="Moderate activity",1,2))</f>
      </c>
      <c r="V477" s="5" t="s">
        <v>69</v>
      </c>
      <c r="W477" s="10">
        <f>IF(V477="7–8 hours",0,IF(V477="6–7 hours",1,2))</f>
      </c>
      <c r="X477" s="15" t="s">
        <v>45</v>
      </c>
      <c r="Y477" s="15" t="s">
        <v>64</v>
      </c>
      <c r="Z477" s="7" t="s">
        <v>45</v>
      </c>
      <c r="AA477" s="7" t="s">
        <v>42</v>
      </c>
      <c r="AB477" s="7" t="s">
        <v>42</v>
      </c>
      <c r="AC477" s="7" t="s">
        <v>42</v>
      </c>
      <c r="AD477" s="10">
        <f>I477 + Q477 + U477 + W477</f>
      </c>
      <c r="AE477" s="10">
        <f>IF(AD477&lt;=2,0,IF(AD477&lt;=5,1,2))</f>
      </c>
      <c r="AF477" s="7"/>
    </row>
    <row x14ac:dyDescent="0.25" r="478" customHeight="1" ht="17.25" hidden="1">
      <c r="A478" s="7" t="s">
        <v>49</v>
      </c>
      <c r="B478" s="7" t="s">
        <v>66</v>
      </c>
      <c r="C478" s="15" t="s">
        <v>50</v>
      </c>
      <c r="D478" s="10">
        <v>6</v>
      </c>
      <c r="E478" s="7" t="s">
        <v>51</v>
      </c>
      <c r="F478" s="10">
        <v>140</v>
      </c>
      <c r="G478" s="11">
        <v>78</v>
      </c>
      <c r="H478" s="12">
        <f>G478/((F478/100)*(F478/100))</f>
      </c>
      <c r="I478" s="11">
        <f>IF(H478&lt;25,0,IF(H478&lt;30,1,2))</f>
      </c>
      <c r="J478" s="13">
        <v>3</v>
      </c>
      <c r="K478" s="7" t="s">
        <v>52</v>
      </c>
      <c r="L478" s="7" t="s">
        <v>147</v>
      </c>
      <c r="M478" s="7" t="s">
        <v>185</v>
      </c>
      <c r="N478" s="7" t="s">
        <v>38</v>
      </c>
      <c r="O478" s="7" t="s">
        <v>68</v>
      </c>
      <c r="P478" s="7" t="s">
        <v>55</v>
      </c>
      <c r="Q478" s="10">
        <f>IF(P478="None of the above",0,2)</f>
      </c>
      <c r="R478" s="7" t="s">
        <v>89</v>
      </c>
      <c r="S478" s="15" t="s">
        <v>48</v>
      </c>
      <c r="T478" s="7" t="s">
        <v>96</v>
      </c>
      <c r="U478" s="10">
        <f>IF(T478="Heavy physical",0,IF(T478="Moderate activity",1,2))</f>
      </c>
      <c r="V478" s="5" t="s">
        <v>69</v>
      </c>
      <c r="W478" s="10">
        <f>IF(V478="7–8 hours",0,IF(V478="6–7 hours",1,2))</f>
      </c>
      <c r="X478" s="15" t="s">
        <v>45</v>
      </c>
      <c r="Y478" s="7" t="s">
        <v>46</v>
      </c>
      <c r="Z478" s="7" t="s">
        <v>45</v>
      </c>
      <c r="AA478" s="7" t="s">
        <v>42</v>
      </c>
      <c r="AB478" s="7" t="s">
        <v>42</v>
      </c>
      <c r="AC478" s="7" t="s">
        <v>42</v>
      </c>
      <c r="AD478" s="10">
        <f>I478 + Q478 + U478 + W478</f>
      </c>
      <c r="AE478" s="10">
        <f>IF(AD478&lt;=2,0,IF(AD478&lt;=5,1,2))</f>
      </c>
      <c r="AF478" s="7"/>
    </row>
    <row x14ac:dyDescent="0.25" r="479" customHeight="1" ht="17.25" hidden="1">
      <c r="A479" s="7" t="s">
        <v>76</v>
      </c>
      <c r="B479" s="7" t="s">
        <v>32</v>
      </c>
      <c r="C479" s="7" t="s">
        <v>110</v>
      </c>
      <c r="D479" s="10">
        <v>8</v>
      </c>
      <c r="E479" s="7" t="s">
        <v>34</v>
      </c>
      <c r="F479" s="10">
        <v>140</v>
      </c>
      <c r="G479" s="11">
        <v>116</v>
      </c>
      <c r="H479" s="12">
        <f>G479/((F479/100)*(F479/100))</f>
      </c>
      <c r="I479" s="11">
        <f>IF(H479&lt;25,0,IF(H479&lt;30,1,2))</f>
      </c>
      <c r="J479" s="13">
        <v>1</v>
      </c>
      <c r="K479" s="7" t="s">
        <v>35</v>
      </c>
      <c r="L479" s="7" t="s">
        <v>100</v>
      </c>
      <c r="M479" s="7" t="s">
        <v>54</v>
      </c>
      <c r="N479" s="7" t="s">
        <v>38</v>
      </c>
      <c r="O479" s="7" t="s">
        <v>74</v>
      </c>
      <c r="P479" s="7" t="s">
        <v>81</v>
      </c>
      <c r="Q479" s="10">
        <f>IF(P479="None of the above",0,2)</f>
      </c>
      <c r="R479" s="7" t="s">
        <v>56</v>
      </c>
      <c r="S479" s="15" t="s">
        <v>42</v>
      </c>
      <c r="T479" s="15" t="s">
        <v>96</v>
      </c>
      <c r="U479" s="10">
        <f>IF(T479="Heavy physical",0,IF(T479="Moderate activity",1,2))</f>
      </c>
      <c r="V479" s="5" t="s">
        <v>97</v>
      </c>
      <c r="W479" s="10">
        <f>IF(V479="7–8 hours",0,IF(V479="6–7 hours",1,2))</f>
      </c>
      <c r="X479" s="15" t="s">
        <v>45</v>
      </c>
      <c r="Y479" s="15" t="s">
        <v>64</v>
      </c>
      <c r="Z479" s="7" t="s">
        <v>45</v>
      </c>
      <c r="AA479" s="7" t="s">
        <v>48</v>
      </c>
      <c r="AB479" s="7" t="s">
        <v>48</v>
      </c>
      <c r="AC479" s="7" t="s">
        <v>42</v>
      </c>
      <c r="AD479" s="10">
        <f>I479 + Q479 + U479 + W479</f>
      </c>
      <c r="AE479" s="10">
        <f>IF(AD479&lt;=2,0,IF(AD479&lt;=5,1,2))</f>
      </c>
      <c r="AF479" s="7"/>
    </row>
    <row x14ac:dyDescent="0.25" r="480" customHeight="1" ht="17.25" hidden="1">
      <c r="A480" s="7" t="s">
        <v>31</v>
      </c>
      <c r="B480" s="7" t="s">
        <v>84</v>
      </c>
      <c r="C480" s="7" t="s">
        <v>226</v>
      </c>
      <c r="D480" s="10">
        <v>7</v>
      </c>
      <c r="E480" s="7" t="s">
        <v>34</v>
      </c>
      <c r="F480" s="10">
        <v>183</v>
      </c>
      <c r="G480" s="11">
        <v>103</v>
      </c>
      <c r="H480" s="12">
        <f>G480/((F480/100)*(F480/100))</f>
      </c>
      <c r="I480" s="11">
        <f>IF(H480&lt;25,0,IF(H480&lt;30,1,2))</f>
      </c>
      <c r="J480" s="13">
        <v>3</v>
      </c>
      <c r="K480" s="7" t="s">
        <v>72</v>
      </c>
      <c r="L480" s="7" t="s">
        <v>87</v>
      </c>
      <c r="M480" s="7" t="s">
        <v>185</v>
      </c>
      <c r="N480" s="7" t="s">
        <v>38</v>
      </c>
      <c r="O480" s="7" t="s">
        <v>63</v>
      </c>
      <c r="P480" s="7" t="s">
        <v>40</v>
      </c>
      <c r="Q480" s="10">
        <f>IF(P480="None of the above",0,2)</f>
      </c>
      <c r="R480" s="7" t="s">
        <v>89</v>
      </c>
      <c r="S480" s="15" t="s">
        <v>48</v>
      </c>
      <c r="T480" s="7" t="s">
        <v>99</v>
      </c>
      <c r="U480" s="10">
        <f>IF(T480="Heavy physical",0,IF(T480="Moderate activity",1,2))</f>
      </c>
      <c r="V480" s="5" t="s">
        <v>57</v>
      </c>
      <c r="W480" s="10">
        <f>IF(V480="7–8 hours",0,IF(V480="6–7 hours",1,2))</f>
      </c>
      <c r="X480" s="15" t="s">
        <v>45</v>
      </c>
      <c r="Y480" s="7" t="s">
        <v>46</v>
      </c>
      <c r="Z480" s="7" t="s">
        <v>47</v>
      </c>
      <c r="AA480" s="7" t="s">
        <v>48</v>
      </c>
      <c r="AB480" s="7" t="s">
        <v>42</v>
      </c>
      <c r="AC480" s="7" t="s">
        <v>48</v>
      </c>
      <c r="AD480" s="10">
        <f>I480 + Q480 + U480 + W480</f>
      </c>
      <c r="AE480" s="10">
        <f>IF(AD480&lt;=2,0,IF(AD480&lt;=5,1,2))</f>
      </c>
      <c r="AF480" s="7"/>
    </row>
    <row x14ac:dyDescent="0.25" r="481" customHeight="1" ht="17.25" hidden="1">
      <c r="A481" s="7" t="s">
        <v>31</v>
      </c>
      <c r="B481" s="7" t="s">
        <v>93</v>
      </c>
      <c r="C481" s="7" t="s">
        <v>60</v>
      </c>
      <c r="D481" s="10">
        <v>6</v>
      </c>
      <c r="E481" s="7" t="s">
        <v>34</v>
      </c>
      <c r="F481" s="10">
        <v>180</v>
      </c>
      <c r="G481" s="11">
        <v>85</v>
      </c>
      <c r="H481" s="12">
        <f>G481/((F481/100)*(F481/100))</f>
      </c>
      <c r="I481" s="11">
        <f>IF(H481&lt;25,0,IF(H481&lt;30,1,2))</f>
      </c>
      <c r="J481" s="13">
        <v>3</v>
      </c>
      <c r="K481" s="7" t="s">
        <v>52</v>
      </c>
      <c r="L481" s="7" t="s">
        <v>152</v>
      </c>
      <c r="M481" s="7" t="s">
        <v>185</v>
      </c>
      <c r="N481" s="7" t="s">
        <v>38</v>
      </c>
      <c r="O481" s="7" t="s">
        <v>39</v>
      </c>
      <c r="P481" s="7" t="s">
        <v>81</v>
      </c>
      <c r="Q481" s="10">
        <f>IF(P481="None of the above",0,2)</f>
      </c>
      <c r="R481" s="7" t="s">
        <v>56</v>
      </c>
      <c r="S481" s="15" t="s">
        <v>42</v>
      </c>
      <c r="T481" s="15" t="s">
        <v>96</v>
      </c>
      <c r="U481" s="10">
        <f>IF(T481="Heavy physical",0,IF(T481="Moderate activity",1,2))</f>
      </c>
      <c r="V481" s="5" t="s">
        <v>57</v>
      </c>
      <c r="W481" s="10">
        <f>IF(V481="7–8 hours",0,IF(V481="6–7 hours",1,2))</f>
      </c>
      <c r="X481" s="15" t="s">
        <v>45</v>
      </c>
      <c r="Y481" s="15" t="s">
        <v>75</v>
      </c>
      <c r="Z481" s="7" t="s">
        <v>45</v>
      </c>
      <c r="AA481" s="7" t="s">
        <v>48</v>
      </c>
      <c r="AB481" s="7" t="s">
        <v>48</v>
      </c>
      <c r="AC481" s="7" t="s">
        <v>48</v>
      </c>
      <c r="AD481" s="10">
        <f>I481 + Q481 + U481 + W481</f>
      </c>
      <c r="AE481" s="10">
        <f>IF(AD481&lt;=2,0,IF(AD481&lt;=5,1,2))</f>
      </c>
      <c r="AF481" s="7"/>
    </row>
    <row x14ac:dyDescent="0.25" r="482" customHeight="1" ht="17.25" hidden="1">
      <c r="A482" s="7" t="s">
        <v>31</v>
      </c>
      <c r="B482" s="7" t="s">
        <v>84</v>
      </c>
      <c r="C482" s="15" t="s">
        <v>50</v>
      </c>
      <c r="D482" s="10">
        <v>5</v>
      </c>
      <c r="E482" s="7" t="s">
        <v>51</v>
      </c>
      <c r="F482" s="10">
        <v>169</v>
      </c>
      <c r="G482" s="11">
        <v>55</v>
      </c>
      <c r="H482" s="12">
        <f>G482/((F482/100)*(F482/100))</f>
      </c>
      <c r="I482" s="11">
        <f>IF(H482&lt;25,0,IF(H482&lt;30,1,2))</f>
      </c>
      <c r="J482" s="13">
        <v>2</v>
      </c>
      <c r="K482" s="7" t="s">
        <v>72</v>
      </c>
      <c r="L482" s="7" t="s">
        <v>79</v>
      </c>
      <c r="M482" s="7" t="s">
        <v>54</v>
      </c>
      <c r="N482" s="7" t="s">
        <v>38</v>
      </c>
      <c r="O482" s="7" t="s">
        <v>74</v>
      </c>
      <c r="P482" s="7" t="s">
        <v>81</v>
      </c>
      <c r="Q482" s="10">
        <f>IF(P482="None of the above",0,2)</f>
      </c>
      <c r="R482" s="7"/>
      <c r="S482" s="15" t="s">
        <v>42</v>
      </c>
      <c r="T482" s="7" t="s">
        <v>96</v>
      </c>
      <c r="U482" s="10">
        <f>IF(T482="Heavy physical",0,IF(T482="Moderate activity",1,2))</f>
      </c>
      <c r="V482" s="5" t="s">
        <v>57</v>
      </c>
      <c r="W482" s="10">
        <f>IF(V482="7–8 hours",0,IF(V482="6–7 hours",1,2))</f>
      </c>
      <c r="X482" s="15" t="s">
        <v>45</v>
      </c>
      <c r="Y482" s="15" t="s">
        <v>64</v>
      </c>
      <c r="Z482" s="7" t="s">
        <v>45</v>
      </c>
      <c r="AA482" s="7" t="s">
        <v>42</v>
      </c>
      <c r="AB482" s="7" t="s">
        <v>42</v>
      </c>
      <c r="AC482" s="7" t="s">
        <v>42</v>
      </c>
      <c r="AD482" s="10">
        <f>I482 + Q482 + U482 + W482</f>
      </c>
      <c r="AE482" s="10">
        <f>IF(AD482&lt;=2,0,IF(AD482&lt;=5,1,2))</f>
      </c>
      <c r="AF482" s="7"/>
    </row>
    <row x14ac:dyDescent="0.25" r="483" customHeight="1" ht="17.25" hidden="1">
      <c r="A483" s="7" t="s">
        <v>49</v>
      </c>
      <c r="B483" s="7" t="s">
        <v>77</v>
      </c>
      <c r="C483" s="7" t="s">
        <v>226</v>
      </c>
      <c r="D483" s="10">
        <v>6</v>
      </c>
      <c r="E483" s="7" t="s">
        <v>34</v>
      </c>
      <c r="F483" s="10">
        <v>171</v>
      </c>
      <c r="G483" s="11">
        <v>48</v>
      </c>
      <c r="H483" s="12">
        <f>G483/((F483/100)*(F483/100))</f>
      </c>
      <c r="I483" s="11">
        <f>IF(H483&lt;25,0,IF(H483&lt;30,1,2))</f>
      </c>
      <c r="J483" s="13">
        <v>3</v>
      </c>
      <c r="K483" s="7" t="s">
        <v>61</v>
      </c>
      <c r="L483" s="7" t="s">
        <v>108</v>
      </c>
      <c r="M483" s="7" t="s">
        <v>54</v>
      </c>
      <c r="N483" s="7" t="s">
        <v>38</v>
      </c>
      <c r="O483" s="7" t="s">
        <v>74</v>
      </c>
      <c r="P483" s="7" t="s">
        <v>40</v>
      </c>
      <c r="Q483" s="10">
        <f>IF(P483="None of the above",0,2)</f>
      </c>
      <c r="R483" s="7" t="s">
        <v>89</v>
      </c>
      <c r="S483" s="15" t="s">
        <v>48</v>
      </c>
      <c r="T483" s="7" t="s">
        <v>99</v>
      </c>
      <c r="U483" s="10">
        <f>IF(T483="Heavy physical",0,IF(T483="Moderate activity",1,2))</f>
      </c>
      <c r="V483" s="5" t="s">
        <v>57</v>
      </c>
      <c r="W483" s="10">
        <f>IF(V483="7–8 hours",0,IF(V483="6–7 hours",1,2))</f>
      </c>
      <c r="X483" s="15" t="s">
        <v>45</v>
      </c>
      <c r="Y483" s="7" t="s">
        <v>46</v>
      </c>
      <c r="Z483" s="7" t="s">
        <v>92</v>
      </c>
      <c r="AA483" s="7" t="s">
        <v>42</v>
      </c>
      <c r="AB483" s="7" t="s">
        <v>42</v>
      </c>
      <c r="AC483" s="7" t="s">
        <v>48</v>
      </c>
      <c r="AD483" s="10">
        <f>I483 + Q483 + U483 + W483</f>
      </c>
      <c r="AE483" s="10">
        <f>IF(AD483&lt;=2,0,IF(AD483&lt;=5,1,2))</f>
      </c>
      <c r="AF483" s="7"/>
    </row>
    <row x14ac:dyDescent="0.25" r="484" customHeight="1" ht="17.25" hidden="1">
      <c r="A484" s="7" t="s">
        <v>76</v>
      </c>
      <c r="B484" s="7" t="s">
        <v>32</v>
      </c>
      <c r="C484" s="7" t="s">
        <v>60</v>
      </c>
      <c r="D484" s="10">
        <v>8</v>
      </c>
      <c r="E484" s="7" t="s">
        <v>34</v>
      </c>
      <c r="F484" s="10">
        <v>178</v>
      </c>
      <c r="G484" s="11">
        <v>58</v>
      </c>
      <c r="H484" s="12">
        <f>G484/((F484/100)*(F484/100))</f>
      </c>
      <c r="I484" s="11">
        <f>IF(H484&lt;25,0,IF(H484&lt;30,1,2))</f>
      </c>
      <c r="J484" s="13">
        <v>1</v>
      </c>
      <c r="K484" s="7" t="s">
        <v>52</v>
      </c>
      <c r="L484" s="7" t="s">
        <v>108</v>
      </c>
      <c r="M484" s="7" t="s">
        <v>185</v>
      </c>
      <c r="N484" s="7" t="s">
        <v>38</v>
      </c>
      <c r="O484" s="7" t="s">
        <v>39</v>
      </c>
      <c r="P484" s="7" t="s">
        <v>81</v>
      </c>
      <c r="Q484" s="10">
        <f>IF(P484="None of the above",0,2)</f>
      </c>
      <c r="R484" s="7" t="s">
        <v>56</v>
      </c>
      <c r="S484" s="15" t="s">
        <v>42</v>
      </c>
      <c r="T484" s="7" t="s">
        <v>96</v>
      </c>
      <c r="U484" s="10">
        <f>IF(T484="Heavy physical",0,IF(T484="Moderate activity",1,2))</f>
      </c>
      <c r="V484" s="5" t="s">
        <v>57</v>
      </c>
      <c r="W484" s="10">
        <f>IF(V484="7–8 hours",0,IF(V484="6–7 hours",1,2))</f>
      </c>
      <c r="X484" s="15" t="s">
        <v>45</v>
      </c>
      <c r="Y484" s="15" t="s">
        <v>64</v>
      </c>
      <c r="Z484" s="7" t="s">
        <v>47</v>
      </c>
      <c r="AA484" s="7" t="s">
        <v>48</v>
      </c>
      <c r="AB484" s="7" t="s">
        <v>42</v>
      </c>
      <c r="AC484" s="7" t="s">
        <v>42</v>
      </c>
      <c r="AD484" s="10">
        <f>I484 + Q484 + U484 + W484</f>
      </c>
      <c r="AE484" s="10">
        <f>IF(AD484&lt;=2,0,IF(AD484&lt;=5,1,2))</f>
      </c>
      <c r="AF484" s="7"/>
    </row>
    <row x14ac:dyDescent="0.25" r="485" customHeight="1" ht="17.25" hidden="1">
      <c r="A485" s="7" t="s">
        <v>76</v>
      </c>
      <c r="B485" s="7" t="s">
        <v>93</v>
      </c>
      <c r="C485" s="7" t="s">
        <v>33</v>
      </c>
      <c r="D485" s="10">
        <v>1</v>
      </c>
      <c r="E485" s="7" t="s">
        <v>51</v>
      </c>
      <c r="F485" s="10">
        <v>170</v>
      </c>
      <c r="G485" s="11">
        <v>61</v>
      </c>
      <c r="H485" s="12">
        <f>G485/((F485/100)*(F485/100))</f>
      </c>
      <c r="I485" s="11">
        <f>IF(H485&lt;25,0,IF(H485&lt;30,1,2))</f>
      </c>
      <c r="J485" s="13">
        <v>1</v>
      </c>
      <c r="K485" s="7" t="s">
        <v>52</v>
      </c>
      <c r="L485" s="7" t="s">
        <v>229</v>
      </c>
      <c r="M485" s="7" t="s">
        <v>185</v>
      </c>
      <c r="N485" s="7" t="s">
        <v>38</v>
      </c>
      <c r="O485" s="7" t="s">
        <v>63</v>
      </c>
      <c r="P485" s="7" t="s">
        <v>81</v>
      </c>
      <c r="Q485" s="10">
        <f>IF(P485="None of the above",0,2)</f>
      </c>
      <c r="R485" s="7"/>
      <c r="S485" s="15" t="s">
        <v>48</v>
      </c>
      <c r="T485" s="7" t="s">
        <v>99</v>
      </c>
      <c r="U485" s="10">
        <f>IF(T485="Heavy physical",0,IF(T485="Moderate activity",1,2))</f>
      </c>
      <c r="V485" s="5" t="s">
        <v>97</v>
      </c>
      <c r="W485" s="10">
        <f>IF(V485="7–8 hours",0,IF(V485="6–7 hours",1,2))</f>
      </c>
      <c r="X485" s="15" t="s">
        <v>45</v>
      </c>
      <c r="Y485" s="15" t="s">
        <v>64</v>
      </c>
      <c r="Z485" s="7" t="s">
        <v>45</v>
      </c>
      <c r="AA485" s="7" t="s">
        <v>42</v>
      </c>
      <c r="AB485" s="7" t="s">
        <v>42</v>
      </c>
      <c r="AC485" s="7" t="s">
        <v>42</v>
      </c>
      <c r="AD485" s="10">
        <f>I485 + Q485 + U485 + W485</f>
      </c>
      <c r="AE485" s="10">
        <f>IF(AD485&lt;=2,0,IF(AD485&lt;=5,1,2))</f>
      </c>
      <c r="AF485" s="7"/>
    </row>
    <row x14ac:dyDescent="0.25" r="486" customHeight="1" ht="17.25" hidden="1">
      <c r="A486" s="7" t="s">
        <v>76</v>
      </c>
      <c r="B486" s="7" t="s">
        <v>71</v>
      </c>
      <c r="C486" s="7" t="s">
        <v>110</v>
      </c>
      <c r="D486" s="10">
        <v>4</v>
      </c>
      <c r="E486" s="7" t="s">
        <v>51</v>
      </c>
      <c r="F486" s="10">
        <v>186</v>
      </c>
      <c r="G486" s="11">
        <v>49</v>
      </c>
      <c r="H486" s="12">
        <f>G486/((F486/100)*(F486/100))</f>
      </c>
      <c r="I486" s="11">
        <f>IF(H486&lt;25,0,IF(H486&lt;30,1,2))</f>
      </c>
      <c r="J486" s="13">
        <v>3</v>
      </c>
      <c r="K486" s="7" t="s">
        <v>105</v>
      </c>
      <c r="L486" s="7" t="s">
        <v>193</v>
      </c>
      <c r="M486" s="7" t="s">
        <v>185</v>
      </c>
      <c r="N486" s="7" t="s">
        <v>38</v>
      </c>
      <c r="O486" s="7" t="s">
        <v>63</v>
      </c>
      <c r="P486" s="7" t="s">
        <v>55</v>
      </c>
      <c r="Q486" s="10">
        <f>IF(P486="None of the above",0,2)</f>
      </c>
      <c r="R486" s="7" t="s">
        <v>56</v>
      </c>
      <c r="S486" s="15" t="s">
        <v>48</v>
      </c>
      <c r="T486" s="7" t="s">
        <v>96</v>
      </c>
      <c r="U486" s="10">
        <f>IF(T486="Heavy physical",0,IF(T486="Moderate activity",1,2))</f>
      </c>
      <c r="V486" s="5" t="s">
        <v>69</v>
      </c>
      <c r="W486" s="10">
        <f>IF(V486="7–8 hours",0,IF(V486="6–7 hours",1,2))</f>
      </c>
      <c r="X486" s="15" t="s">
        <v>45</v>
      </c>
      <c r="Y486" s="7" t="s">
        <v>46</v>
      </c>
      <c r="Z486" s="7" t="s">
        <v>47</v>
      </c>
      <c r="AA486" s="7" t="s">
        <v>42</v>
      </c>
      <c r="AB486" s="7" t="s">
        <v>42</v>
      </c>
      <c r="AC486" s="7" t="s">
        <v>42</v>
      </c>
      <c r="AD486" s="10">
        <f>I486 + Q486 + U486 + W486</f>
      </c>
      <c r="AE486" s="10">
        <f>IF(AD486&lt;=2,0,IF(AD486&lt;=5,1,2))</f>
      </c>
      <c r="AF486" s="7"/>
    </row>
    <row x14ac:dyDescent="0.25" r="487" customHeight="1" ht="17.25" hidden="1">
      <c r="A487" s="7" t="s">
        <v>49</v>
      </c>
      <c r="B487" s="7" t="s">
        <v>93</v>
      </c>
      <c r="C487" s="15" t="s">
        <v>50</v>
      </c>
      <c r="D487" s="10">
        <v>2</v>
      </c>
      <c r="E487" s="7" t="s">
        <v>34</v>
      </c>
      <c r="F487" s="10">
        <v>187</v>
      </c>
      <c r="G487" s="11">
        <v>51</v>
      </c>
      <c r="H487" s="12">
        <f>G487/((F487/100)*(F487/100))</f>
      </c>
      <c r="I487" s="11">
        <f>IF(H487&lt;25,0,IF(H487&lt;30,1,2))</f>
      </c>
      <c r="J487" s="13">
        <v>1</v>
      </c>
      <c r="K487" s="7" t="s">
        <v>61</v>
      </c>
      <c r="L487" s="7" t="s">
        <v>219</v>
      </c>
      <c r="M487" s="7" t="s">
        <v>185</v>
      </c>
      <c r="N487" s="7" t="s">
        <v>38</v>
      </c>
      <c r="O487" s="7" t="s">
        <v>80</v>
      </c>
      <c r="P487" s="7" t="s">
        <v>40</v>
      </c>
      <c r="Q487" s="10">
        <f>IF(P487="None of the above",0,2)</f>
      </c>
      <c r="R487" s="7" t="s">
        <v>89</v>
      </c>
      <c r="S487" s="15" t="s">
        <v>48</v>
      </c>
      <c r="T487" s="7" t="s">
        <v>99</v>
      </c>
      <c r="U487" s="10">
        <f>IF(T487="Heavy physical",0,IF(T487="Moderate activity",1,2))</f>
      </c>
      <c r="V487" s="5" t="s">
        <v>97</v>
      </c>
      <c r="W487" s="10">
        <f>IF(V487="7–8 hours",0,IF(V487="6–7 hours",1,2))</f>
      </c>
      <c r="X487" s="15" t="s">
        <v>45</v>
      </c>
      <c r="Y487" s="15" t="s">
        <v>75</v>
      </c>
      <c r="Z487" s="7" t="s">
        <v>45</v>
      </c>
      <c r="AA487" s="7" t="s">
        <v>42</v>
      </c>
      <c r="AB487" s="7" t="s">
        <v>48</v>
      </c>
      <c r="AC487" s="7" t="s">
        <v>42</v>
      </c>
      <c r="AD487" s="10">
        <f>I487 + Q487 + U487 + W487</f>
      </c>
      <c r="AE487" s="10">
        <f>IF(AD487&lt;=2,0,IF(AD487&lt;=5,1,2))</f>
      </c>
      <c r="AF487" s="7"/>
    </row>
    <row x14ac:dyDescent="0.25" r="488" customHeight="1" ht="17.25" hidden="1">
      <c r="A488" s="7" t="s">
        <v>31</v>
      </c>
      <c r="B488" s="7" t="s">
        <v>66</v>
      </c>
      <c r="C488" s="7" t="s">
        <v>60</v>
      </c>
      <c r="D488" s="10">
        <v>8</v>
      </c>
      <c r="E488" s="7" t="s">
        <v>34</v>
      </c>
      <c r="F488" s="10">
        <v>197</v>
      </c>
      <c r="G488" s="11">
        <v>54</v>
      </c>
      <c r="H488" s="12">
        <f>G488/((F488/100)*(F488/100))</f>
      </c>
      <c r="I488" s="11">
        <f>IF(H488&lt;25,0,IF(H488&lt;30,1,2))</f>
      </c>
      <c r="J488" s="13">
        <v>1</v>
      </c>
      <c r="K488" s="7" t="s">
        <v>61</v>
      </c>
      <c r="L488" s="7" t="s">
        <v>200</v>
      </c>
      <c r="M488" s="7" t="s">
        <v>185</v>
      </c>
      <c r="N488" s="7" t="s">
        <v>38</v>
      </c>
      <c r="O488" s="7" t="s">
        <v>74</v>
      </c>
      <c r="P488" s="7" t="s">
        <v>40</v>
      </c>
      <c r="Q488" s="10">
        <f>IF(P488="None of the above",0,2)</f>
      </c>
      <c r="R488" s="7" t="s">
        <v>89</v>
      </c>
      <c r="S488" s="15" t="s">
        <v>42</v>
      </c>
      <c r="T488" s="7" t="s">
        <v>99</v>
      </c>
      <c r="U488" s="10">
        <f>IF(T488="Heavy physical",0,IF(T488="Moderate activity",1,2))</f>
      </c>
      <c r="V488" s="5" t="s">
        <v>97</v>
      </c>
      <c r="W488" s="10">
        <f>IF(V488="7–8 hours",0,IF(V488="6–7 hours",1,2))</f>
      </c>
      <c r="X488" s="15" t="s">
        <v>45</v>
      </c>
      <c r="Y488" s="15" t="s">
        <v>64</v>
      </c>
      <c r="Z488" s="7" t="s">
        <v>47</v>
      </c>
      <c r="AA488" s="7" t="s">
        <v>48</v>
      </c>
      <c r="AB488" s="7" t="s">
        <v>42</v>
      </c>
      <c r="AC488" s="7" t="s">
        <v>48</v>
      </c>
      <c r="AD488" s="10">
        <f>I488 + Q488 + U488 + W488</f>
      </c>
      <c r="AE488" s="10">
        <f>IF(AD488&lt;=2,0,IF(AD488&lt;=5,1,2))</f>
      </c>
      <c r="AF488" s="7"/>
    </row>
    <row x14ac:dyDescent="0.25" r="489" customHeight="1" ht="17.25" hidden="1">
      <c r="A489" s="7" t="s">
        <v>49</v>
      </c>
      <c r="B489" s="7" t="s">
        <v>32</v>
      </c>
      <c r="C489" s="7" t="s">
        <v>33</v>
      </c>
      <c r="D489" s="10">
        <v>4</v>
      </c>
      <c r="E489" s="7" t="s">
        <v>51</v>
      </c>
      <c r="F489" s="10">
        <v>169</v>
      </c>
      <c r="G489" s="11">
        <v>85</v>
      </c>
      <c r="H489" s="12">
        <f>G489/((F489/100)*(F489/100))</f>
      </c>
      <c r="I489" s="11">
        <f>IF(H489&lt;25,0,IF(H489&lt;30,1,2))</f>
      </c>
      <c r="J489" s="13">
        <v>2</v>
      </c>
      <c r="K489" s="7" t="s">
        <v>61</v>
      </c>
      <c r="L489" s="7" t="s">
        <v>230</v>
      </c>
      <c r="M489" s="7" t="s">
        <v>185</v>
      </c>
      <c r="N489" s="7" t="s">
        <v>38</v>
      </c>
      <c r="O489" s="7" t="s">
        <v>63</v>
      </c>
      <c r="P489" s="7" t="s">
        <v>81</v>
      </c>
      <c r="Q489" s="10">
        <f>IF(P489="None of the above",0,2)</f>
      </c>
      <c r="R489" s="7"/>
      <c r="S489" s="15" t="s">
        <v>48</v>
      </c>
      <c r="T489" s="7" t="s">
        <v>96</v>
      </c>
      <c r="U489" s="10">
        <f>IF(T489="Heavy physical",0,IF(T489="Moderate activity",1,2))</f>
      </c>
      <c r="V489" s="5" t="s">
        <v>57</v>
      </c>
      <c r="W489" s="10">
        <f>IF(V489="7–8 hours",0,IF(V489="6–7 hours",1,2))</f>
      </c>
      <c r="X489" s="15" t="s">
        <v>45</v>
      </c>
      <c r="Y489" s="7" t="s">
        <v>46</v>
      </c>
      <c r="Z489" s="7" t="s">
        <v>92</v>
      </c>
      <c r="AA489" s="7" t="s">
        <v>42</v>
      </c>
      <c r="AB489" s="7" t="s">
        <v>42</v>
      </c>
      <c r="AC489" s="7" t="s">
        <v>42</v>
      </c>
      <c r="AD489" s="10">
        <f>I489 + Q489 + U489 + W489</f>
      </c>
      <c r="AE489" s="10">
        <f>IF(AD489&lt;=2,0,IF(AD489&lt;=5,1,2))</f>
      </c>
      <c r="AF489" s="7"/>
    </row>
    <row x14ac:dyDescent="0.25" r="490" customHeight="1" ht="17.25" hidden="1">
      <c r="A490" s="7" t="s">
        <v>31</v>
      </c>
      <c r="B490" s="7" t="s">
        <v>32</v>
      </c>
      <c r="C490" s="7" t="s">
        <v>60</v>
      </c>
      <c r="D490" s="10">
        <v>6</v>
      </c>
      <c r="E490" s="7" t="s">
        <v>51</v>
      </c>
      <c r="F490" s="10">
        <v>160</v>
      </c>
      <c r="G490" s="11">
        <v>105</v>
      </c>
      <c r="H490" s="12">
        <f>G490/((F490/100)*(F490/100))</f>
      </c>
      <c r="I490" s="11">
        <f>IF(H490&lt;25,0,IF(H490&lt;30,1,2))</f>
      </c>
      <c r="J490" s="13">
        <v>2</v>
      </c>
      <c r="K490" s="7" t="s">
        <v>35</v>
      </c>
      <c r="L490" s="7" t="s">
        <v>147</v>
      </c>
      <c r="M490" s="7" t="s">
        <v>185</v>
      </c>
      <c r="N490" s="7" t="s">
        <v>38</v>
      </c>
      <c r="O490" s="7" t="s">
        <v>80</v>
      </c>
      <c r="P490" s="7" t="s">
        <v>40</v>
      </c>
      <c r="Q490" s="10">
        <f>IF(P490="None of the above",0,2)</f>
      </c>
      <c r="R490" s="7" t="s">
        <v>89</v>
      </c>
      <c r="S490" s="15" t="s">
        <v>42</v>
      </c>
      <c r="T490" s="7" t="s">
        <v>96</v>
      </c>
      <c r="U490" s="10">
        <f>IF(T490="Heavy physical",0,IF(T490="Moderate activity",1,2))</f>
      </c>
      <c r="V490" s="5" t="s">
        <v>44</v>
      </c>
      <c r="W490" s="10">
        <f>IF(V490="7–8 hours",0,IF(V490="6–7 hours",1,2))</f>
      </c>
      <c r="X490" s="15" t="s">
        <v>45</v>
      </c>
      <c r="Y490" s="15" t="s">
        <v>75</v>
      </c>
      <c r="Z490" s="7" t="s">
        <v>65</v>
      </c>
      <c r="AA490" s="7" t="s">
        <v>42</v>
      </c>
      <c r="AB490" s="7" t="s">
        <v>42</v>
      </c>
      <c r="AC490" s="7" t="s">
        <v>42</v>
      </c>
      <c r="AD490" s="10">
        <f>I490 + Q490 + U490 + W490</f>
      </c>
      <c r="AE490" s="10">
        <f>IF(AD490&lt;=2,0,IF(AD490&lt;=5,1,2))</f>
      </c>
      <c r="AF490" s="7"/>
    </row>
    <row x14ac:dyDescent="0.25" r="491" customHeight="1" ht="17.25" hidden="1">
      <c r="A491" s="7" t="s">
        <v>192</v>
      </c>
      <c r="B491" s="7" t="s">
        <v>32</v>
      </c>
      <c r="C491" s="15" t="s">
        <v>33</v>
      </c>
      <c r="D491" s="10">
        <v>2</v>
      </c>
      <c r="E491" s="7" t="s">
        <v>34</v>
      </c>
      <c r="F491" s="10">
        <v>157</v>
      </c>
      <c r="G491" s="11">
        <v>64</v>
      </c>
      <c r="H491" s="12">
        <f>G491/((F491/100)*(F491/100))</f>
      </c>
      <c r="I491" s="11">
        <f>IF(H491&lt;25,0,IF(H491&lt;30,1,2))</f>
      </c>
      <c r="J491" s="13">
        <v>2</v>
      </c>
      <c r="K491" s="7" t="s">
        <v>105</v>
      </c>
      <c r="L491" s="7" t="s">
        <v>117</v>
      </c>
      <c r="M491" s="7" t="s">
        <v>54</v>
      </c>
      <c r="N491" s="7" t="s">
        <v>38</v>
      </c>
      <c r="O491" s="7" t="s">
        <v>74</v>
      </c>
      <c r="P491" s="7" t="s">
        <v>40</v>
      </c>
      <c r="Q491" s="10">
        <f>IF(P491="None of the above",0,2)</f>
      </c>
      <c r="R491" s="7" t="s">
        <v>89</v>
      </c>
      <c r="S491" s="15" t="s">
        <v>48</v>
      </c>
      <c r="T491" s="15" t="s">
        <v>96</v>
      </c>
      <c r="U491" s="10">
        <f>IF(T491="Heavy physical",0,IF(T491="Moderate activity",1,2))</f>
      </c>
      <c r="V491" s="5" t="s">
        <v>44</v>
      </c>
      <c r="W491" s="10">
        <f>IF(V491="7–8 hours",0,IF(V491="6–7 hours",1,2))</f>
      </c>
      <c r="X491" s="15" t="s">
        <v>45</v>
      </c>
      <c r="Y491" s="15" t="s">
        <v>64</v>
      </c>
      <c r="Z491" s="7" t="s">
        <v>65</v>
      </c>
      <c r="AA491" s="7" t="s">
        <v>48</v>
      </c>
      <c r="AB491" s="7" t="s">
        <v>42</v>
      </c>
      <c r="AC491" s="7" t="s">
        <v>48</v>
      </c>
      <c r="AD491" s="10">
        <f>I491 + Q491 + U491 + W491</f>
      </c>
      <c r="AE491" s="10">
        <f>IF(AD491&lt;=2,0,IF(AD491&lt;=5,1,2))</f>
      </c>
      <c r="AF491" s="7"/>
    </row>
    <row x14ac:dyDescent="0.25" r="492" customHeight="1" ht="17.25" hidden="1">
      <c r="A492" s="7" t="s">
        <v>49</v>
      </c>
      <c r="B492" s="7" t="s">
        <v>59</v>
      </c>
      <c r="C492" s="15" t="s">
        <v>50</v>
      </c>
      <c r="D492" s="10">
        <v>6</v>
      </c>
      <c r="E492" s="7" t="s">
        <v>34</v>
      </c>
      <c r="F492" s="10">
        <v>187</v>
      </c>
      <c r="G492" s="11">
        <v>111</v>
      </c>
      <c r="H492" s="12">
        <f>G492/((F492/100)*(F492/100))</f>
      </c>
      <c r="I492" s="11">
        <f>IF(H492&lt;25,0,IF(H492&lt;30,1,2))</f>
      </c>
      <c r="J492" s="13">
        <v>2</v>
      </c>
      <c r="K492" s="7" t="s">
        <v>105</v>
      </c>
      <c r="L492" s="7" t="s">
        <v>145</v>
      </c>
      <c r="M492" s="7" t="s">
        <v>54</v>
      </c>
      <c r="N492" s="7" t="s">
        <v>38</v>
      </c>
      <c r="O492" s="7" t="s">
        <v>74</v>
      </c>
      <c r="P492" s="7" t="s">
        <v>81</v>
      </c>
      <c r="Q492" s="10">
        <f>IF(P492="None of the above",0,2)</f>
      </c>
      <c r="R492" s="7" t="s">
        <v>56</v>
      </c>
      <c r="S492" s="15" t="s">
        <v>48</v>
      </c>
      <c r="T492" s="15" t="s">
        <v>96</v>
      </c>
      <c r="U492" s="10">
        <f>IF(T492="Heavy physical",0,IF(T492="Moderate activity",1,2))</f>
      </c>
      <c r="V492" s="5" t="s">
        <v>44</v>
      </c>
      <c r="W492" s="10">
        <f>IF(V492="7–8 hours",0,IF(V492="6–7 hours",1,2))</f>
      </c>
      <c r="X492" s="15" t="s">
        <v>45</v>
      </c>
      <c r="Y492" s="7" t="s">
        <v>46</v>
      </c>
      <c r="Z492" s="7" t="s">
        <v>45</v>
      </c>
      <c r="AA492" s="7" t="s">
        <v>48</v>
      </c>
      <c r="AB492" s="7" t="s">
        <v>48</v>
      </c>
      <c r="AC492" s="7" t="s">
        <v>42</v>
      </c>
      <c r="AD492" s="10">
        <f>I492 + Q492 + U492 + W492</f>
      </c>
      <c r="AE492" s="10">
        <f>IF(AD492&lt;=2,0,IF(AD492&lt;=5,1,2))</f>
      </c>
      <c r="AF492" s="7"/>
    </row>
    <row x14ac:dyDescent="0.25" r="493" customHeight="1" ht="17.25" hidden="1">
      <c r="A493" s="7" t="s">
        <v>76</v>
      </c>
      <c r="B493" s="7" t="s">
        <v>71</v>
      </c>
      <c r="C493" s="7" t="s">
        <v>60</v>
      </c>
      <c r="D493" s="10">
        <v>1</v>
      </c>
      <c r="E493" s="7" t="s">
        <v>51</v>
      </c>
      <c r="F493" s="10">
        <v>153</v>
      </c>
      <c r="G493" s="11">
        <v>109</v>
      </c>
      <c r="H493" s="12">
        <f>G493/((F493/100)*(F493/100))</f>
      </c>
      <c r="I493" s="11">
        <f>IF(H493&lt;25,0,IF(H493&lt;30,1,2))</f>
      </c>
      <c r="J493" s="13">
        <v>3</v>
      </c>
      <c r="K493" s="7" t="s">
        <v>35</v>
      </c>
      <c r="L493" s="7" t="s">
        <v>125</v>
      </c>
      <c r="M493" s="7" t="s">
        <v>185</v>
      </c>
      <c r="N493" s="7" t="s">
        <v>38</v>
      </c>
      <c r="O493" s="7" t="s">
        <v>80</v>
      </c>
      <c r="P493" s="7" t="s">
        <v>40</v>
      </c>
      <c r="Q493" s="10">
        <f>IF(P493="None of the above",0,2)</f>
      </c>
      <c r="R493" s="7" t="s">
        <v>89</v>
      </c>
      <c r="S493" s="15" t="s">
        <v>42</v>
      </c>
      <c r="T493" s="7" t="s">
        <v>99</v>
      </c>
      <c r="U493" s="10">
        <f>IF(T493="Heavy physical",0,IF(T493="Moderate activity",1,2))</f>
      </c>
      <c r="V493" s="5" t="s">
        <v>69</v>
      </c>
      <c r="W493" s="10">
        <f>IF(V493="7–8 hours",0,IF(V493="6–7 hours",1,2))</f>
      </c>
      <c r="X493" s="15" t="s">
        <v>45</v>
      </c>
      <c r="Y493" s="7" t="s">
        <v>46</v>
      </c>
      <c r="Z493" s="7" t="s">
        <v>45</v>
      </c>
      <c r="AA493" s="7" t="s">
        <v>42</v>
      </c>
      <c r="AB493" s="7" t="s">
        <v>42</v>
      </c>
      <c r="AC493" s="7" t="s">
        <v>42</v>
      </c>
      <c r="AD493" s="10">
        <f>I493 + Q493 + U493 + W493</f>
      </c>
      <c r="AE493" s="10">
        <f>IF(AD493&lt;=2,0,IF(AD493&lt;=5,1,2))</f>
      </c>
      <c r="AF493" s="7"/>
    </row>
    <row x14ac:dyDescent="0.25" r="494" customHeight="1" ht="17.25" hidden="1">
      <c r="A494" s="7" t="s">
        <v>49</v>
      </c>
      <c r="B494" s="7" t="s">
        <v>93</v>
      </c>
      <c r="C494" s="7" t="s">
        <v>33</v>
      </c>
      <c r="D494" s="10">
        <v>7</v>
      </c>
      <c r="E494" s="7" t="s">
        <v>34</v>
      </c>
      <c r="F494" s="10">
        <v>200</v>
      </c>
      <c r="G494" s="11">
        <v>114</v>
      </c>
      <c r="H494" s="12">
        <f>G494/((F494/100)*(F494/100))</f>
      </c>
      <c r="I494" s="11">
        <f>IF(H494&lt;25,0,IF(H494&lt;30,1,2))</f>
      </c>
      <c r="J494" s="13">
        <v>2</v>
      </c>
      <c r="K494" s="7" t="s">
        <v>35</v>
      </c>
      <c r="L494" s="7" t="s">
        <v>213</v>
      </c>
      <c r="M494" s="7" t="s">
        <v>41</v>
      </c>
      <c r="N494" s="7" t="s">
        <v>38</v>
      </c>
      <c r="O494" s="7" t="s">
        <v>80</v>
      </c>
      <c r="P494" s="7" t="s">
        <v>40</v>
      </c>
      <c r="Q494" s="10">
        <f>IF(P494="None of the above",0,2)</f>
      </c>
      <c r="R494" s="7" t="s">
        <v>89</v>
      </c>
      <c r="S494" s="15" t="s">
        <v>48</v>
      </c>
      <c r="T494" s="7" t="s">
        <v>96</v>
      </c>
      <c r="U494" s="10">
        <f>IF(T494="Heavy physical",0,IF(T494="Moderate activity",1,2))</f>
      </c>
      <c r="V494" s="5" t="s">
        <v>57</v>
      </c>
      <c r="W494" s="10">
        <f>IF(V494="7–8 hours",0,IF(V494="6–7 hours",1,2))</f>
      </c>
      <c r="X494" s="15" t="s">
        <v>45</v>
      </c>
      <c r="Y494" s="15" t="s">
        <v>64</v>
      </c>
      <c r="Z494" s="7" t="s">
        <v>45</v>
      </c>
      <c r="AA494" s="7" t="s">
        <v>42</v>
      </c>
      <c r="AB494" s="7" t="s">
        <v>48</v>
      </c>
      <c r="AC494" s="7" t="s">
        <v>42</v>
      </c>
      <c r="AD494" s="10">
        <f>I494 + Q494 + U494 + W494</f>
      </c>
      <c r="AE494" s="10">
        <f>IF(AD494&lt;=2,0,IF(AD494&lt;=5,1,2))</f>
      </c>
      <c r="AF494" s="7"/>
    </row>
    <row x14ac:dyDescent="0.25" r="495" customHeight="1" ht="17.25" hidden="1">
      <c r="A495" s="7" t="s">
        <v>49</v>
      </c>
      <c r="B495" s="7" t="s">
        <v>77</v>
      </c>
      <c r="C495" s="7" t="s">
        <v>226</v>
      </c>
      <c r="D495" s="10">
        <v>4</v>
      </c>
      <c r="E495" s="7" t="s">
        <v>34</v>
      </c>
      <c r="F495" s="10">
        <v>164</v>
      </c>
      <c r="G495" s="11">
        <v>101</v>
      </c>
      <c r="H495" s="12">
        <f>G495/((F495/100)*(F495/100))</f>
      </c>
      <c r="I495" s="11">
        <f>IF(H495&lt;25,0,IF(H495&lt;30,1,2))</f>
      </c>
      <c r="J495" s="13">
        <v>3</v>
      </c>
      <c r="K495" s="7" t="s">
        <v>35</v>
      </c>
      <c r="L495" s="7" t="s">
        <v>136</v>
      </c>
      <c r="M495" s="7" t="s">
        <v>41</v>
      </c>
      <c r="N495" s="7" t="s">
        <v>38</v>
      </c>
      <c r="O495" s="7" t="s">
        <v>63</v>
      </c>
      <c r="P495" s="7" t="s">
        <v>81</v>
      </c>
      <c r="Q495" s="10">
        <f>IF(P495="None of the above",0,2)</f>
      </c>
      <c r="R495" s="7" t="s">
        <v>56</v>
      </c>
      <c r="S495" s="15" t="s">
        <v>42</v>
      </c>
      <c r="T495" s="7" t="s">
        <v>99</v>
      </c>
      <c r="U495" s="10">
        <f>IF(T495="Heavy physical",0,IF(T495="Moderate activity",1,2))</f>
      </c>
      <c r="V495" s="10">
        <v>9</v>
      </c>
      <c r="W495" s="10">
        <f>IF(V495="7–8 hours",0,IF(V495="6–7 hours",1,2))</f>
      </c>
      <c r="X495" s="15" t="s">
        <v>45</v>
      </c>
      <c r="Y495" s="15" t="s">
        <v>75</v>
      </c>
      <c r="Z495" s="7" t="s">
        <v>45</v>
      </c>
      <c r="AA495" s="7" t="s">
        <v>48</v>
      </c>
      <c r="AB495" s="7" t="s">
        <v>48</v>
      </c>
      <c r="AC495" s="7" t="s">
        <v>42</v>
      </c>
      <c r="AD495" s="10">
        <f>I495 + Q495 + U495 + W495</f>
      </c>
      <c r="AE495" s="10">
        <f>IF(AD495&lt;=2,0,IF(AD495&lt;=5,1,2))</f>
      </c>
      <c r="AF495" s="7"/>
    </row>
    <row x14ac:dyDescent="0.25" r="496" customHeight="1" ht="17.25" hidden="1">
      <c r="A496" s="7" t="s">
        <v>31</v>
      </c>
      <c r="B496" s="7" t="s">
        <v>84</v>
      </c>
      <c r="C496" s="7" t="s">
        <v>60</v>
      </c>
      <c r="D496" s="10">
        <v>1</v>
      </c>
      <c r="E496" s="7" t="s">
        <v>51</v>
      </c>
      <c r="F496" s="10">
        <v>190</v>
      </c>
      <c r="G496" s="11">
        <v>70</v>
      </c>
      <c r="H496" s="12">
        <f>G496/((F496/100)*(F496/100))</f>
      </c>
      <c r="I496" s="11">
        <f>IF(H496&lt;25,0,IF(H496&lt;30,1,2))</f>
      </c>
      <c r="J496" s="13">
        <v>1</v>
      </c>
      <c r="K496" s="7" t="s">
        <v>52</v>
      </c>
      <c r="L496" s="7" t="s">
        <v>180</v>
      </c>
      <c r="M496" s="7" t="s">
        <v>185</v>
      </c>
      <c r="N496" s="7" t="s">
        <v>38</v>
      </c>
      <c r="O496" s="7" t="s">
        <v>74</v>
      </c>
      <c r="P496" s="7" t="s">
        <v>81</v>
      </c>
      <c r="Q496" s="10">
        <f>IF(P496="None of the above",0,2)</f>
      </c>
      <c r="R496" s="7" t="s">
        <v>56</v>
      </c>
      <c r="S496" s="15" t="s">
        <v>48</v>
      </c>
      <c r="T496" s="7" t="s">
        <v>96</v>
      </c>
      <c r="U496" s="10">
        <f>IF(T496="Heavy physical",0,IF(T496="Moderate activity",1,2))</f>
      </c>
      <c r="V496" s="5" t="s">
        <v>57</v>
      </c>
      <c r="W496" s="10">
        <f>IF(V496="7–8 hours",0,IF(V496="6–7 hours",1,2))</f>
      </c>
      <c r="X496" s="15" t="s">
        <v>45</v>
      </c>
      <c r="Y496" s="15" t="s">
        <v>64</v>
      </c>
      <c r="Z496" s="7" t="s">
        <v>92</v>
      </c>
      <c r="AA496" s="7" t="s">
        <v>42</v>
      </c>
      <c r="AB496" s="7" t="s">
        <v>42</v>
      </c>
      <c r="AC496" s="7" t="s">
        <v>42</v>
      </c>
      <c r="AD496" s="10">
        <f>I496 + Q496 + U496 + W496</f>
      </c>
      <c r="AE496" s="10">
        <f>IF(AD496&lt;=2,0,IF(AD496&lt;=5,1,2))</f>
      </c>
      <c r="AF496" s="7"/>
    </row>
    <row x14ac:dyDescent="0.25" r="497" customHeight="1" ht="17.25" hidden="1">
      <c r="A497" s="7" t="s">
        <v>149</v>
      </c>
      <c r="B497" s="7" t="s">
        <v>66</v>
      </c>
      <c r="C497" s="15" t="s">
        <v>50</v>
      </c>
      <c r="D497" s="10">
        <v>1</v>
      </c>
      <c r="E497" s="7" t="s">
        <v>51</v>
      </c>
      <c r="F497" s="10">
        <v>185</v>
      </c>
      <c r="G497" s="11">
        <v>51</v>
      </c>
      <c r="H497" s="12">
        <f>G497/((F497/100)*(F497/100))</f>
      </c>
      <c r="I497" s="11">
        <f>IF(H497&lt;25,0,IF(H497&lt;30,1,2))</f>
      </c>
      <c r="J497" s="13">
        <v>1</v>
      </c>
      <c r="K497" s="7" t="s">
        <v>86</v>
      </c>
      <c r="L497" s="7" t="s">
        <v>87</v>
      </c>
      <c r="M497" s="7" t="s">
        <v>185</v>
      </c>
      <c r="N497" s="7" t="s">
        <v>38</v>
      </c>
      <c r="O497" s="7" t="s">
        <v>63</v>
      </c>
      <c r="P497" s="7" t="s">
        <v>40</v>
      </c>
      <c r="Q497" s="10">
        <f>IF(P497="None of the above",0,2)</f>
      </c>
      <c r="R497" s="7" t="s">
        <v>89</v>
      </c>
      <c r="S497" s="15" t="s">
        <v>42</v>
      </c>
      <c r="T497" s="7" t="s">
        <v>99</v>
      </c>
      <c r="U497" s="10">
        <f>IF(T497="Heavy physical",0,IF(T497="Moderate activity",1,2))</f>
      </c>
      <c r="V497" s="5" t="s">
        <v>44</v>
      </c>
      <c r="W497" s="10">
        <f>IF(V497="7–8 hours",0,IF(V497="6–7 hours",1,2))</f>
      </c>
      <c r="X497" s="15" t="s">
        <v>45</v>
      </c>
      <c r="Y497" s="7" t="s">
        <v>46</v>
      </c>
      <c r="Z497" s="7" t="s">
        <v>45</v>
      </c>
      <c r="AA497" s="7" t="s">
        <v>42</v>
      </c>
      <c r="AB497" s="7" t="s">
        <v>42</v>
      </c>
      <c r="AC497" s="7" t="s">
        <v>42</v>
      </c>
      <c r="AD497" s="10">
        <f>I497 + Q497 + U497 + W497</f>
      </c>
      <c r="AE497" s="10">
        <f>IF(AD497&lt;=2,0,IF(AD497&lt;=5,1,2))</f>
      </c>
      <c r="AF497" s="7"/>
    </row>
    <row x14ac:dyDescent="0.25" r="498" customHeight="1" ht="17.25" hidden="1">
      <c r="A498" s="7" t="s">
        <v>31</v>
      </c>
      <c r="B498" s="7" t="s">
        <v>59</v>
      </c>
      <c r="C498" s="15" t="s">
        <v>33</v>
      </c>
      <c r="D498" s="10">
        <v>6</v>
      </c>
      <c r="E498" s="7" t="s">
        <v>51</v>
      </c>
      <c r="F498" s="10">
        <v>191</v>
      </c>
      <c r="G498" s="11">
        <v>69</v>
      </c>
      <c r="H498" s="12">
        <f>G498/((F498/100)*(F498/100))</f>
      </c>
      <c r="I498" s="11">
        <f>IF(H498&lt;25,0,IF(H498&lt;30,1,2))</f>
      </c>
      <c r="J498" s="13">
        <v>1</v>
      </c>
      <c r="K498" s="7" t="s">
        <v>72</v>
      </c>
      <c r="L498" s="7" t="s">
        <v>194</v>
      </c>
      <c r="M498" s="7" t="s">
        <v>185</v>
      </c>
      <c r="N498" s="7" t="s">
        <v>38</v>
      </c>
      <c r="O498" s="7" t="s">
        <v>74</v>
      </c>
      <c r="P498" s="7" t="s">
        <v>81</v>
      </c>
      <c r="Q498" s="10">
        <f>IF(P498="None of the above",0,2)</f>
      </c>
      <c r="R498" s="7" t="s">
        <v>56</v>
      </c>
      <c r="S498" s="15" t="s">
        <v>48</v>
      </c>
      <c r="T498" s="7" t="s">
        <v>99</v>
      </c>
      <c r="U498" s="10">
        <f>IF(T498="Heavy physical",0,IF(T498="Moderate activity",1,2))</f>
      </c>
      <c r="V498" s="5" t="s">
        <v>57</v>
      </c>
      <c r="W498" s="10">
        <f>IF(V498="7–8 hours",0,IF(V498="6–7 hours",1,2))</f>
      </c>
      <c r="X498" s="15" t="s">
        <v>45</v>
      </c>
      <c r="Y498" s="7" t="s">
        <v>46</v>
      </c>
      <c r="Z498" s="7" t="s">
        <v>65</v>
      </c>
      <c r="AA498" s="7" t="s">
        <v>42</v>
      </c>
      <c r="AB498" s="7" t="s">
        <v>42</v>
      </c>
      <c r="AC498" s="7" t="s">
        <v>42</v>
      </c>
      <c r="AD498" s="10">
        <f>I498 + Q498 + U498 + W498</f>
      </c>
      <c r="AE498" s="10">
        <f>IF(AD498&lt;=2,0,IF(AD498&lt;=5,1,2))</f>
      </c>
      <c r="AF498" s="7"/>
    </row>
    <row x14ac:dyDescent="0.25" r="499" customHeight="1" ht="17.25" hidden="1">
      <c r="A499" s="7" t="s">
        <v>76</v>
      </c>
      <c r="B499" s="7" t="s">
        <v>77</v>
      </c>
      <c r="C499" s="7" t="s">
        <v>110</v>
      </c>
      <c r="D499" s="10">
        <v>7</v>
      </c>
      <c r="E499" s="7" t="s">
        <v>34</v>
      </c>
      <c r="F499" s="10">
        <v>188</v>
      </c>
      <c r="G499" s="11">
        <v>117</v>
      </c>
      <c r="H499" s="12">
        <f>G499/((F499/100)*(F499/100))</f>
      </c>
      <c r="I499" s="11">
        <f>IF(H499&lt;25,0,IF(H499&lt;30,1,2))</f>
      </c>
      <c r="J499" s="13">
        <v>2</v>
      </c>
      <c r="K499" s="7" t="s">
        <v>52</v>
      </c>
      <c r="L499" s="7" t="s">
        <v>231</v>
      </c>
      <c r="M499" s="7" t="s">
        <v>54</v>
      </c>
      <c r="N499" s="7" t="s">
        <v>38</v>
      </c>
      <c r="O499" s="7" t="s">
        <v>39</v>
      </c>
      <c r="P499" s="7" t="s">
        <v>81</v>
      </c>
      <c r="Q499" s="10">
        <f>IF(P499="None of the above",0,2)</f>
      </c>
      <c r="R499" s="7"/>
      <c r="S499" s="15" t="s">
        <v>48</v>
      </c>
      <c r="T499" s="7" t="s">
        <v>96</v>
      </c>
      <c r="U499" s="10">
        <f>IF(T499="Heavy physical",0,IF(T499="Moderate activity",1,2))</f>
      </c>
      <c r="V499" s="5" t="s">
        <v>44</v>
      </c>
      <c r="W499" s="10">
        <f>IF(V499="7–8 hours",0,IF(V499="6–7 hours",1,2))</f>
      </c>
      <c r="X499" s="15" t="s">
        <v>45</v>
      </c>
      <c r="Y499" s="7" t="s">
        <v>46</v>
      </c>
      <c r="Z499" s="7" t="s">
        <v>45</v>
      </c>
      <c r="AA499" s="7" t="s">
        <v>42</v>
      </c>
      <c r="AB499" s="7" t="s">
        <v>42</v>
      </c>
      <c r="AC499" s="7" t="s">
        <v>42</v>
      </c>
      <c r="AD499" s="10">
        <f>I499 + Q499 + U499 + W499</f>
      </c>
      <c r="AE499" s="10">
        <f>IF(AD499&lt;=2,0,IF(AD499&lt;=5,1,2))</f>
      </c>
      <c r="AF499" s="7"/>
    </row>
    <row x14ac:dyDescent="0.25" r="500" customHeight="1" ht="17.25" hidden="1">
      <c r="A500" s="7" t="s">
        <v>31</v>
      </c>
      <c r="B500" s="7" t="s">
        <v>32</v>
      </c>
      <c r="C500" s="7" t="s">
        <v>226</v>
      </c>
      <c r="D500" s="10">
        <v>8</v>
      </c>
      <c r="E500" s="7" t="s">
        <v>34</v>
      </c>
      <c r="F500" s="10">
        <v>144</v>
      </c>
      <c r="G500" s="11">
        <v>79</v>
      </c>
      <c r="H500" s="12">
        <f>G500/((F500/100)*(F500/100))</f>
      </c>
      <c r="I500" s="11">
        <f>IF(H500&lt;25,0,IF(H500&lt;30,1,2))</f>
      </c>
      <c r="J500" s="13">
        <v>2</v>
      </c>
      <c r="K500" s="7" t="s">
        <v>105</v>
      </c>
      <c r="L500" s="7" t="s">
        <v>125</v>
      </c>
      <c r="M500" s="7" t="s">
        <v>185</v>
      </c>
      <c r="N500" s="7" t="s">
        <v>38</v>
      </c>
      <c r="O500" s="7" t="s">
        <v>63</v>
      </c>
      <c r="P500" s="7" t="s">
        <v>81</v>
      </c>
      <c r="Q500" s="10">
        <f>IF(P500="None of the above",0,2)</f>
      </c>
      <c r="R500" s="7" t="s">
        <v>56</v>
      </c>
      <c r="S500" s="15" t="s">
        <v>42</v>
      </c>
      <c r="T500" s="7" t="s">
        <v>99</v>
      </c>
      <c r="U500" s="10">
        <f>IF(T500="Heavy physical",0,IF(T500="Moderate activity",1,2))</f>
      </c>
      <c r="V500" s="5" t="s">
        <v>57</v>
      </c>
      <c r="W500" s="10">
        <f>IF(V500="7–8 hours",0,IF(V500="6–7 hours",1,2))</f>
      </c>
      <c r="X500" s="15" t="s">
        <v>45</v>
      </c>
      <c r="Y500" s="7" t="s">
        <v>58</v>
      </c>
      <c r="Z500" s="7" t="s">
        <v>45</v>
      </c>
      <c r="AA500" s="7" t="s">
        <v>42</v>
      </c>
      <c r="AB500" s="7" t="s">
        <v>42</v>
      </c>
      <c r="AC500" s="7" t="s">
        <v>48</v>
      </c>
      <c r="AD500" s="10">
        <f>I500 + Q500 + U500 + W500</f>
      </c>
      <c r="AE500" s="10">
        <f>IF(AD500&lt;=2,0,IF(AD500&lt;=5,1,2))</f>
      </c>
      <c r="AF500" s="7"/>
    </row>
    <row x14ac:dyDescent="0.25" r="501" customHeight="1" ht="17.25" hidden="1">
      <c r="A501" s="7" t="s">
        <v>31</v>
      </c>
      <c r="B501" s="7" t="s">
        <v>71</v>
      </c>
      <c r="C501" s="15" t="s">
        <v>50</v>
      </c>
      <c r="D501" s="10">
        <v>1</v>
      </c>
      <c r="E501" s="7" t="s">
        <v>51</v>
      </c>
      <c r="F501" s="10">
        <v>148</v>
      </c>
      <c r="G501" s="11">
        <v>72</v>
      </c>
      <c r="H501" s="12">
        <f>G501/((F501/100)*(F501/100))</f>
      </c>
      <c r="I501" s="11">
        <f>IF(H501&lt;25,0,IF(H501&lt;30,1,2))</f>
      </c>
      <c r="J501" s="13">
        <v>3</v>
      </c>
      <c r="K501" s="7" t="s">
        <v>105</v>
      </c>
      <c r="L501" s="7" t="s">
        <v>214</v>
      </c>
      <c r="M501" s="7" t="s">
        <v>185</v>
      </c>
      <c r="N501" s="7" t="s">
        <v>38</v>
      </c>
      <c r="O501" s="7" t="s">
        <v>80</v>
      </c>
      <c r="P501" s="7" t="s">
        <v>40</v>
      </c>
      <c r="Q501" s="10">
        <f>IF(P501="None of the above",0,2)</f>
      </c>
      <c r="R501" s="7" t="s">
        <v>89</v>
      </c>
      <c r="S501" s="15" t="s">
        <v>48</v>
      </c>
      <c r="T501" s="15" t="s">
        <v>96</v>
      </c>
      <c r="U501" s="10">
        <f>IF(T501="Heavy physical",0,IF(T501="Moderate activity",1,2))</f>
      </c>
      <c r="V501" s="5" t="s">
        <v>44</v>
      </c>
      <c r="W501" s="10">
        <f>IF(V501="7–8 hours",0,IF(V501="6–7 hours",1,2))</f>
      </c>
      <c r="X501" s="15" t="s">
        <v>45</v>
      </c>
      <c r="Y501" s="7" t="s">
        <v>46</v>
      </c>
      <c r="Z501" s="7" t="s">
        <v>47</v>
      </c>
      <c r="AA501" s="7" t="s">
        <v>42</v>
      </c>
      <c r="AB501" s="7" t="s">
        <v>42</v>
      </c>
      <c r="AC501" s="7" t="s">
        <v>42</v>
      </c>
      <c r="AD501" s="10">
        <f>I501 + Q501 + U501 + W501</f>
      </c>
      <c r="AE501" s="10">
        <f>IF(AD501&lt;=2,0,IF(AD501&lt;=5,1,2))</f>
      </c>
      <c r="AF501" s="7"/>
    </row>
    <row x14ac:dyDescent="0.25" r="502" customHeight="1" ht="17.25" hidden="1">
      <c r="A502" s="17" t="s">
        <v>232</v>
      </c>
      <c r="B502" s="17" t="s">
        <v>233</v>
      </c>
      <c r="C502" s="17" t="s">
        <v>234</v>
      </c>
      <c r="D502" s="18" t="s">
        <v>235</v>
      </c>
      <c r="E502" s="17" t="s">
        <v>34</v>
      </c>
      <c r="F502" s="19">
        <v>156</v>
      </c>
      <c r="G502" s="20">
        <v>56</v>
      </c>
      <c r="H502" s="12">
        <f>G502/((F502/100)*(F502/100))</f>
      </c>
      <c r="I502" s="11">
        <f>IF(H502&lt;25,0,IF(H502&lt;30,1,2))</f>
      </c>
      <c r="J502" s="18" t="s">
        <v>236</v>
      </c>
      <c r="K502" s="17" t="s">
        <v>237</v>
      </c>
      <c r="L502" s="17" t="s">
        <v>238</v>
      </c>
      <c r="M502" s="17" t="s">
        <v>185</v>
      </c>
      <c r="N502" s="17" t="s">
        <v>38</v>
      </c>
      <c r="O502" s="17" t="s">
        <v>239</v>
      </c>
      <c r="P502" s="7" t="s">
        <v>40</v>
      </c>
      <c r="Q502" s="10">
        <f>IF(P502="None of the above",0,2)</f>
      </c>
      <c r="R502" s="17" t="s">
        <v>56</v>
      </c>
      <c r="S502" s="17" t="s">
        <v>42</v>
      </c>
      <c r="T502" s="17" t="s">
        <v>43</v>
      </c>
      <c r="U502" s="10">
        <f>IF(T502="Heavy physical",0,IF(T502="Moderate activity",1,2))</f>
      </c>
      <c r="V502" s="18" t="s">
        <v>44</v>
      </c>
      <c r="W502" s="10">
        <f>IF(V502="7–8 hours",0,IF(V502="6–7 hours",1,2))</f>
      </c>
      <c r="X502" s="17" t="s">
        <v>45</v>
      </c>
      <c r="Y502" s="17" t="s">
        <v>75</v>
      </c>
      <c r="Z502" s="17" t="s">
        <v>45</v>
      </c>
      <c r="AA502" s="17" t="s">
        <v>42</v>
      </c>
      <c r="AB502" s="17" t="s">
        <v>42</v>
      </c>
      <c r="AC502" s="17" t="s">
        <v>240</v>
      </c>
      <c r="AD502" s="10">
        <f>I502 + Q502 + U502 + W502</f>
      </c>
      <c r="AE502" s="10">
        <f>IF(AD502&lt;=2,0,IF(AD502&lt;=5,1,2))</f>
      </c>
      <c r="AF502" s="7"/>
    </row>
    <row x14ac:dyDescent="0.25" r="503" customHeight="1" ht="17.25" hidden="1">
      <c r="A503" s="17" t="s">
        <v>232</v>
      </c>
      <c r="B503" s="17" t="s">
        <v>241</v>
      </c>
      <c r="C503" s="17" t="s">
        <v>50</v>
      </c>
      <c r="D503" s="18" t="s">
        <v>242</v>
      </c>
      <c r="E503" s="17" t="s">
        <v>51</v>
      </c>
      <c r="F503" s="19">
        <v>163</v>
      </c>
      <c r="G503" s="20">
        <v>59</v>
      </c>
      <c r="H503" s="12">
        <f>G503/((F503/100)*(F503/100))</f>
      </c>
      <c r="I503" s="11">
        <f>IF(H503&lt;25,0,IF(H503&lt;30,1,2))</f>
      </c>
      <c r="J503" s="18" t="s">
        <v>236</v>
      </c>
      <c r="K503" s="17" t="s">
        <v>237</v>
      </c>
      <c r="L503" s="17" t="s">
        <v>243</v>
      </c>
      <c r="M503" s="17" t="s">
        <v>54</v>
      </c>
      <c r="N503" s="17" t="s">
        <v>38</v>
      </c>
      <c r="O503" s="17" t="s">
        <v>239</v>
      </c>
      <c r="P503" s="7" t="s">
        <v>40</v>
      </c>
      <c r="Q503" s="10">
        <f>IF(P503="None of the above",0,2)</f>
      </c>
      <c r="R503" s="17" t="s">
        <v>56</v>
      </c>
      <c r="S503" s="17" t="s">
        <v>42</v>
      </c>
      <c r="T503" s="17" t="s">
        <v>43</v>
      </c>
      <c r="U503" s="10">
        <f>IF(T503="Heavy physical",0,IF(T503="Moderate activity",1,2))</f>
      </c>
      <c r="V503" s="18" t="s">
        <v>57</v>
      </c>
      <c r="W503" s="10">
        <f>IF(V503="7–8 hours",0,IF(V503="6–7 hours",1,2))</f>
      </c>
      <c r="X503" s="17" t="s">
        <v>45</v>
      </c>
      <c r="Y503" s="17" t="s">
        <v>244</v>
      </c>
      <c r="Z503" s="17" t="s">
        <v>45</v>
      </c>
      <c r="AA503" s="17" t="s">
        <v>42</v>
      </c>
      <c r="AB503" s="17" t="s">
        <v>42</v>
      </c>
      <c r="AC503" s="17" t="s">
        <v>245</v>
      </c>
      <c r="AD503" s="10">
        <f>I503 + Q503 + U503 + W503</f>
      </c>
      <c r="AE503" s="10">
        <f>IF(AD503&lt;=2,0,IF(AD503&lt;=5,1,2))</f>
      </c>
      <c r="AF503" s="7"/>
    </row>
    <row x14ac:dyDescent="0.25" r="504" customHeight="1" ht="17.25" hidden="1">
      <c r="A504" s="17" t="s">
        <v>232</v>
      </c>
      <c r="B504" s="17" t="s">
        <v>241</v>
      </c>
      <c r="C504" s="17" t="s">
        <v>141</v>
      </c>
      <c r="D504" s="18" t="s">
        <v>242</v>
      </c>
      <c r="E504" s="17" t="s">
        <v>34</v>
      </c>
      <c r="F504" s="19">
        <v>150</v>
      </c>
      <c r="G504" s="20">
        <v>48</v>
      </c>
      <c r="H504" s="12">
        <f>G504/((F504/100)*(F504/100))</f>
      </c>
      <c r="I504" s="11">
        <f>IF(H504&lt;25,0,IF(H504&lt;30,1,2))</f>
      </c>
      <c r="J504" s="18" t="s">
        <v>246</v>
      </c>
      <c r="K504" s="17" t="s">
        <v>237</v>
      </c>
      <c r="L504" s="17" t="s">
        <v>238</v>
      </c>
      <c r="M504" s="17" t="s">
        <v>37</v>
      </c>
      <c r="N504" s="17" t="s">
        <v>38</v>
      </c>
      <c r="O504" s="17" t="s">
        <v>239</v>
      </c>
      <c r="P504" s="7" t="s">
        <v>40</v>
      </c>
      <c r="Q504" s="10">
        <f>IF(P504="None of the above",0,2)</f>
      </c>
      <c r="R504" s="17" t="s">
        <v>56</v>
      </c>
      <c r="S504" s="17" t="s">
        <v>42</v>
      </c>
      <c r="T504" s="17" t="s">
        <v>43</v>
      </c>
      <c r="U504" s="10">
        <f>IF(T504="Heavy physical",0,IF(T504="Moderate activity",1,2))</f>
      </c>
      <c r="V504" s="18" t="s">
        <v>44</v>
      </c>
      <c r="W504" s="10">
        <f>IF(V504="7–8 hours",0,IF(V504="6–7 hours",1,2))</f>
      </c>
      <c r="X504" s="17" t="s">
        <v>45</v>
      </c>
      <c r="Y504" s="17" t="s">
        <v>75</v>
      </c>
      <c r="Z504" s="17" t="s">
        <v>45</v>
      </c>
      <c r="AA504" s="17" t="s">
        <v>42</v>
      </c>
      <c r="AB504" s="17" t="s">
        <v>42</v>
      </c>
      <c r="AC504" s="17" t="s">
        <v>247</v>
      </c>
      <c r="AD504" s="10">
        <f>I504 + Q504 + U504 + W504</f>
      </c>
      <c r="AE504" s="10">
        <f>IF(AD504&lt;=2,0,IF(AD504&lt;=5,1,2))</f>
      </c>
      <c r="AF504" s="7"/>
    </row>
    <row x14ac:dyDescent="0.25" r="505" customHeight="1" ht="17.25" hidden="1">
      <c r="A505" s="17" t="s">
        <v>232</v>
      </c>
      <c r="B505" s="17" t="s">
        <v>248</v>
      </c>
      <c r="C505" s="17" t="s">
        <v>33</v>
      </c>
      <c r="D505" s="18" t="s">
        <v>249</v>
      </c>
      <c r="E505" s="17" t="s">
        <v>51</v>
      </c>
      <c r="F505" s="19">
        <v>160</v>
      </c>
      <c r="G505" s="20">
        <v>55</v>
      </c>
      <c r="H505" s="12">
        <f>G505/((F505/100)*(F505/100))</f>
      </c>
      <c r="I505" s="11">
        <f>IF(H505&lt;25,0,IF(H505&lt;30,1,2))</f>
      </c>
      <c r="J505" s="18" t="s">
        <v>246</v>
      </c>
      <c r="K505" s="17" t="s">
        <v>237</v>
      </c>
      <c r="L505" s="17" t="s">
        <v>250</v>
      </c>
      <c r="M505" s="17" t="s">
        <v>54</v>
      </c>
      <c r="N505" s="17" t="s">
        <v>38</v>
      </c>
      <c r="O505" s="17" t="s">
        <v>239</v>
      </c>
      <c r="P505" s="7" t="s">
        <v>40</v>
      </c>
      <c r="Q505" s="10">
        <f>IF(P505="None of the above",0,2)</f>
      </c>
      <c r="R505" s="17" t="s">
        <v>41</v>
      </c>
      <c r="S505" s="17" t="s">
        <v>42</v>
      </c>
      <c r="T505" s="17" t="s">
        <v>96</v>
      </c>
      <c r="U505" s="10">
        <f>IF(T505="Heavy physical",0,IF(T505="Moderate activity",1,2))</f>
      </c>
      <c r="V505" s="18" t="s">
        <v>97</v>
      </c>
      <c r="W505" s="10">
        <f>IF(V505="7–8 hours",0,IF(V505="6–7 hours",1,2))</f>
      </c>
      <c r="X505" s="17" t="s">
        <v>45</v>
      </c>
      <c r="Y505" s="17" t="s">
        <v>75</v>
      </c>
      <c r="Z505" s="17" t="s">
        <v>45</v>
      </c>
      <c r="AA505" s="17" t="s">
        <v>42</v>
      </c>
      <c r="AB505" s="17" t="s">
        <v>42</v>
      </c>
      <c r="AC505" s="17" t="s">
        <v>245</v>
      </c>
      <c r="AD505" s="10">
        <f>I505 + Q505 + U505 + W505</f>
      </c>
      <c r="AE505" s="10">
        <f>IF(AD505&lt;=2,0,IF(AD505&lt;=5,1,2))</f>
      </c>
      <c r="AF505" s="7"/>
    </row>
    <row x14ac:dyDescent="0.25" r="506" customHeight="1" ht="17.25" hidden="1">
      <c r="A506" s="17" t="s">
        <v>251</v>
      </c>
      <c r="B506" s="17" t="s">
        <v>252</v>
      </c>
      <c r="C506" s="17" t="s">
        <v>253</v>
      </c>
      <c r="D506" s="18" t="s">
        <v>242</v>
      </c>
      <c r="E506" s="17" t="s">
        <v>34</v>
      </c>
      <c r="F506" s="19">
        <v>150</v>
      </c>
      <c r="G506" s="20">
        <v>53</v>
      </c>
      <c r="H506" s="12">
        <f>G506/((F506/100)*(F506/100))</f>
      </c>
      <c r="I506" s="11">
        <f>IF(H506&lt;25,0,IF(H506&lt;30,1,2))</f>
      </c>
      <c r="J506" s="18" t="s">
        <v>236</v>
      </c>
      <c r="K506" s="17" t="s">
        <v>237</v>
      </c>
      <c r="L506" s="17" t="s">
        <v>238</v>
      </c>
      <c r="M506" s="17" t="s">
        <v>37</v>
      </c>
      <c r="N506" s="17" t="s">
        <v>38</v>
      </c>
      <c r="O506" s="17" t="s">
        <v>239</v>
      </c>
      <c r="P506" s="7" t="s">
        <v>40</v>
      </c>
      <c r="Q506" s="10">
        <f>IF(P506="None of the above",0,2)</f>
      </c>
      <c r="R506" s="17" t="s">
        <v>41</v>
      </c>
      <c r="S506" s="17" t="s">
        <v>48</v>
      </c>
      <c r="T506" s="17" t="s">
        <v>43</v>
      </c>
      <c r="U506" s="10">
        <f>IF(T506="Heavy physical",0,IF(T506="Moderate activity",1,2))</f>
      </c>
      <c r="V506" s="18" t="s">
        <v>97</v>
      </c>
      <c r="W506" s="10">
        <f>IF(V506="7–8 hours",0,IF(V506="6–7 hours",1,2))</f>
      </c>
      <c r="X506" s="17" t="s">
        <v>45</v>
      </c>
      <c r="Y506" s="17" t="s">
        <v>46</v>
      </c>
      <c r="Z506" s="17" t="s">
        <v>254</v>
      </c>
      <c r="AA506" s="17" t="s">
        <v>42</v>
      </c>
      <c r="AB506" s="17" t="s">
        <v>42</v>
      </c>
      <c r="AC506" s="17" t="s">
        <v>240</v>
      </c>
      <c r="AD506" s="10">
        <f>I506 + Q506 + U506 + W506</f>
      </c>
      <c r="AE506" s="10">
        <f>IF(AD506&lt;=2,0,IF(AD506&lt;=5,1,2))</f>
      </c>
      <c r="AF506" s="7"/>
    </row>
    <row x14ac:dyDescent="0.25" r="507" customHeight="1" ht="17.25" hidden="1">
      <c r="A507" s="17" t="s">
        <v>251</v>
      </c>
      <c r="B507" s="17" t="s">
        <v>252</v>
      </c>
      <c r="C507" s="17" t="s">
        <v>33</v>
      </c>
      <c r="D507" s="18" t="s">
        <v>242</v>
      </c>
      <c r="E507" s="17" t="s">
        <v>51</v>
      </c>
      <c r="F507" s="19">
        <v>171</v>
      </c>
      <c r="G507" s="20">
        <v>62</v>
      </c>
      <c r="H507" s="12">
        <f>G507/((F507/100)*(F507/100))</f>
      </c>
      <c r="I507" s="11">
        <f>IF(H507&lt;25,0,IF(H507&lt;30,1,2))</f>
      </c>
      <c r="J507" s="18" t="s">
        <v>236</v>
      </c>
      <c r="K507" s="17" t="s">
        <v>255</v>
      </c>
      <c r="L507" s="17" t="s">
        <v>256</v>
      </c>
      <c r="M507" s="17" t="s">
        <v>37</v>
      </c>
      <c r="N507" s="17" t="s">
        <v>201</v>
      </c>
      <c r="O507" s="17" t="s">
        <v>257</v>
      </c>
      <c r="P507" s="15" t="s">
        <v>132</v>
      </c>
      <c r="Q507" s="10">
        <f>IF(P507="None of the above",0,2)</f>
      </c>
      <c r="R507" s="17" t="s">
        <v>41</v>
      </c>
      <c r="S507" s="17" t="s">
        <v>42</v>
      </c>
      <c r="T507" s="17" t="s">
        <v>96</v>
      </c>
      <c r="U507" s="10">
        <f>IF(T507="Heavy physical",0,IF(T507="Moderate activity",1,2))</f>
      </c>
      <c r="V507" s="18" t="s">
        <v>44</v>
      </c>
      <c r="W507" s="10">
        <f>IF(V507="7–8 hours",0,IF(V507="6–7 hours",1,2))</f>
      </c>
      <c r="X507" s="17" t="s">
        <v>70</v>
      </c>
      <c r="Y507" s="17" t="s">
        <v>64</v>
      </c>
      <c r="Z507" s="17" t="s">
        <v>45</v>
      </c>
      <c r="AA507" s="17" t="s">
        <v>42</v>
      </c>
      <c r="AB507" s="17" t="s">
        <v>42</v>
      </c>
      <c r="AC507" s="17" t="s">
        <v>245</v>
      </c>
      <c r="AD507" s="10">
        <f>I507 + Q507 + U507 + W507</f>
      </c>
      <c r="AE507" s="10">
        <f>IF(AD507&lt;=2,0,IF(AD507&lt;=5,1,2))</f>
      </c>
      <c r="AF507" s="7"/>
    </row>
    <row x14ac:dyDescent="0.25" r="508" customHeight="1" ht="17.25" hidden="1">
      <c r="A508" s="17" t="s">
        <v>251</v>
      </c>
      <c r="B508" s="17" t="s">
        <v>233</v>
      </c>
      <c r="C508" s="17" t="s">
        <v>33</v>
      </c>
      <c r="D508" s="18" t="s">
        <v>242</v>
      </c>
      <c r="E508" s="17" t="s">
        <v>34</v>
      </c>
      <c r="F508" s="19">
        <v>154</v>
      </c>
      <c r="G508" s="20">
        <v>42</v>
      </c>
      <c r="H508" s="12">
        <f>G508/((F508/100)*(F508/100))</f>
      </c>
      <c r="I508" s="11">
        <f>IF(H508&lt;25,0,IF(H508&lt;30,1,2))</f>
      </c>
      <c r="J508" s="18" t="s">
        <v>236</v>
      </c>
      <c r="K508" s="17" t="s">
        <v>237</v>
      </c>
      <c r="L508" s="17" t="s">
        <v>243</v>
      </c>
      <c r="M508" s="17" t="s">
        <v>37</v>
      </c>
      <c r="N508" s="17" t="s">
        <v>38</v>
      </c>
      <c r="O508" s="17" t="s">
        <v>258</v>
      </c>
      <c r="P508" s="15" t="s">
        <v>132</v>
      </c>
      <c r="Q508" s="10">
        <f>IF(P508="None of the above",0,2)</f>
      </c>
      <c r="R508" s="17" t="s">
        <v>56</v>
      </c>
      <c r="S508" s="17" t="s">
        <v>42</v>
      </c>
      <c r="T508" s="17" t="s">
        <v>259</v>
      </c>
      <c r="U508" s="10">
        <f>IF(T508="Heavy physical",0,IF(T508="Moderate activity",1,2))</f>
      </c>
      <c r="V508" s="18" t="s">
        <v>69</v>
      </c>
      <c r="W508" s="10">
        <f>IF(V508="7–8 hours",0,IF(V508="6–7 hours",1,2))</f>
      </c>
      <c r="X508" s="17" t="s">
        <v>45</v>
      </c>
      <c r="Y508" s="17" t="s">
        <v>75</v>
      </c>
      <c r="Z508" s="17" t="s">
        <v>45</v>
      </c>
      <c r="AA508" s="17" t="s">
        <v>42</v>
      </c>
      <c r="AB508" s="17" t="s">
        <v>42</v>
      </c>
      <c r="AC508" s="17" t="s">
        <v>247</v>
      </c>
      <c r="AD508" s="10">
        <f>I508 + Q508 + U508 + W508</f>
      </c>
      <c r="AE508" s="10">
        <f>IF(AD508&lt;=2,0,IF(AD508&lt;=5,1,2))</f>
      </c>
      <c r="AF508" s="7"/>
    </row>
    <row x14ac:dyDescent="0.25" r="509" customHeight="1" ht="17.25" hidden="1">
      <c r="A509" s="17" t="s">
        <v>251</v>
      </c>
      <c r="B509" s="17" t="s">
        <v>241</v>
      </c>
      <c r="C509" s="17" t="s">
        <v>50</v>
      </c>
      <c r="D509" s="18" t="s">
        <v>242</v>
      </c>
      <c r="E509" s="17" t="s">
        <v>34</v>
      </c>
      <c r="F509" s="19">
        <v>152</v>
      </c>
      <c r="G509" s="20">
        <v>53</v>
      </c>
      <c r="H509" s="12">
        <f>G509/((F509/100)*(F509/100))</f>
      </c>
      <c r="I509" s="11">
        <f>IF(H509&lt;25,0,IF(H509&lt;30,1,2))</f>
      </c>
      <c r="J509" s="18" t="s">
        <v>246</v>
      </c>
      <c r="K509" s="17" t="s">
        <v>237</v>
      </c>
      <c r="L509" s="17" t="s">
        <v>260</v>
      </c>
      <c r="M509" s="17" t="s">
        <v>185</v>
      </c>
      <c r="N509" s="17" t="s">
        <v>201</v>
      </c>
      <c r="O509" s="17" t="s">
        <v>239</v>
      </c>
      <c r="P509" s="15" t="s">
        <v>132</v>
      </c>
      <c r="Q509" s="10">
        <f>IF(P509="None of the above",0,2)</f>
      </c>
      <c r="R509" s="17" t="s">
        <v>56</v>
      </c>
      <c r="S509" s="17" t="s">
        <v>42</v>
      </c>
      <c r="T509" s="17" t="s">
        <v>43</v>
      </c>
      <c r="U509" s="10">
        <f>IF(T509="Heavy physical",0,IF(T509="Moderate activity",1,2))</f>
      </c>
      <c r="V509" s="18" t="s">
        <v>69</v>
      </c>
      <c r="W509" s="10">
        <f>IF(V509="7–8 hours",0,IF(V509="6–7 hours",1,2))</f>
      </c>
      <c r="X509" s="17" t="s">
        <v>70</v>
      </c>
      <c r="Y509" s="17" t="s">
        <v>75</v>
      </c>
      <c r="Z509" s="17" t="s">
        <v>45</v>
      </c>
      <c r="AA509" s="17" t="s">
        <v>42</v>
      </c>
      <c r="AB509" s="17" t="s">
        <v>42</v>
      </c>
      <c r="AC509" s="17" t="s">
        <v>247</v>
      </c>
      <c r="AD509" s="10">
        <f>I509 + Q509 + U509 + W509</f>
      </c>
      <c r="AE509" s="10">
        <f>IF(AD509&lt;=2,0,IF(AD509&lt;=5,1,2))</f>
      </c>
      <c r="AF509" s="7"/>
    </row>
    <row x14ac:dyDescent="0.25" r="510" customHeight="1" ht="17.25" hidden="1">
      <c r="A510" s="17" t="s">
        <v>251</v>
      </c>
      <c r="B510" s="17" t="s">
        <v>241</v>
      </c>
      <c r="C510" s="17" t="s">
        <v>50</v>
      </c>
      <c r="D510" s="18" t="s">
        <v>242</v>
      </c>
      <c r="E510" s="17" t="s">
        <v>34</v>
      </c>
      <c r="F510" s="21">
        <v>147.32</v>
      </c>
      <c r="G510" s="20">
        <v>60</v>
      </c>
      <c r="H510" s="12">
        <f>G510/((F510/100)*(F510/100))</f>
      </c>
      <c r="I510" s="11">
        <f>IF(H510&lt;25,0,IF(H510&lt;30,1,2))</f>
      </c>
      <c r="J510" s="18" t="s">
        <v>236</v>
      </c>
      <c r="K510" s="17" t="s">
        <v>255</v>
      </c>
      <c r="L510" s="17" t="s">
        <v>261</v>
      </c>
      <c r="M510" s="17" t="s">
        <v>185</v>
      </c>
      <c r="N510" s="17" t="s">
        <v>38</v>
      </c>
      <c r="O510" s="17" t="s">
        <v>258</v>
      </c>
      <c r="P510" s="15" t="s">
        <v>132</v>
      </c>
      <c r="Q510" s="10">
        <f>IF(P510="None of the above",0,2)</f>
      </c>
      <c r="R510" s="17" t="s">
        <v>89</v>
      </c>
      <c r="S510" s="17" t="s">
        <v>42</v>
      </c>
      <c r="T510" s="17" t="s">
        <v>43</v>
      </c>
      <c r="U510" s="10">
        <f>IF(T510="Heavy physical",0,IF(T510="Moderate activity",1,2))</f>
      </c>
      <c r="V510" s="18" t="s">
        <v>69</v>
      </c>
      <c r="W510" s="10">
        <f>IF(V510="7–8 hours",0,IF(V510="6–7 hours",1,2))</f>
      </c>
      <c r="X510" s="17" t="s">
        <v>70</v>
      </c>
      <c r="Y510" s="17" t="s">
        <v>46</v>
      </c>
      <c r="Z510" s="17" t="s">
        <v>45</v>
      </c>
      <c r="AA510" s="17" t="s">
        <v>42</v>
      </c>
      <c r="AB510" s="17" t="s">
        <v>42</v>
      </c>
      <c r="AC510" s="17" t="s">
        <v>247</v>
      </c>
      <c r="AD510" s="10">
        <f>I510 + Q510 + U510 + W510</f>
      </c>
      <c r="AE510" s="10">
        <f>IF(AD510&lt;=2,0,IF(AD510&lt;=5,1,2))</f>
      </c>
      <c r="AF510" s="7"/>
    </row>
    <row x14ac:dyDescent="0.25" r="511" customHeight="1" ht="17.25" hidden="1">
      <c r="A511" s="17" t="s">
        <v>251</v>
      </c>
      <c r="B511" s="17" t="s">
        <v>252</v>
      </c>
      <c r="C511" s="17" t="s">
        <v>33</v>
      </c>
      <c r="D511" s="18" t="s">
        <v>242</v>
      </c>
      <c r="E511" s="17" t="s">
        <v>51</v>
      </c>
      <c r="F511" s="19">
        <v>161</v>
      </c>
      <c r="G511" s="20">
        <v>54</v>
      </c>
      <c r="H511" s="12">
        <f>G511/((F511/100)*(F511/100))</f>
      </c>
      <c r="I511" s="11">
        <f>IF(H511&lt;25,0,IF(H511&lt;30,1,2))</f>
      </c>
      <c r="J511" s="18" t="s">
        <v>246</v>
      </c>
      <c r="K511" s="17" t="s">
        <v>237</v>
      </c>
      <c r="L511" s="17" t="s">
        <v>262</v>
      </c>
      <c r="M511" s="17" t="s">
        <v>185</v>
      </c>
      <c r="N511" s="17" t="s">
        <v>201</v>
      </c>
      <c r="O511" s="17" t="s">
        <v>239</v>
      </c>
      <c r="P511" s="15" t="s">
        <v>132</v>
      </c>
      <c r="Q511" s="10">
        <f>IF(P511="None of the above",0,2)</f>
      </c>
      <c r="R511" s="17" t="s">
        <v>56</v>
      </c>
      <c r="S511" s="17" t="s">
        <v>48</v>
      </c>
      <c r="T511" s="17" t="s">
        <v>43</v>
      </c>
      <c r="U511" s="10">
        <f>IF(T511="Heavy physical",0,IF(T511="Moderate activity",1,2))</f>
      </c>
      <c r="V511" s="18" t="s">
        <v>69</v>
      </c>
      <c r="W511" s="10">
        <f>IF(V511="7–8 hours",0,IF(V511="6–7 hours",1,2))</f>
      </c>
      <c r="X511" s="17" t="s">
        <v>45</v>
      </c>
      <c r="Y511" s="17" t="s">
        <v>244</v>
      </c>
      <c r="Z511" s="17" t="s">
        <v>45</v>
      </c>
      <c r="AA511" s="17" t="s">
        <v>42</v>
      </c>
      <c r="AB511" s="17" t="s">
        <v>42</v>
      </c>
      <c r="AC511" s="17" t="s">
        <v>245</v>
      </c>
      <c r="AD511" s="10">
        <f>I511 + Q511 + U511 + W511</f>
      </c>
      <c r="AE511" s="10">
        <f>IF(AD511&lt;=2,0,IF(AD511&lt;=5,1,2))</f>
      </c>
      <c r="AF511" s="7"/>
    </row>
    <row x14ac:dyDescent="0.25" r="512" customHeight="1" ht="17.25" hidden="1">
      <c r="A512" s="17" t="s">
        <v>251</v>
      </c>
      <c r="B512" s="17" t="s">
        <v>241</v>
      </c>
      <c r="C512" s="17" t="s">
        <v>33</v>
      </c>
      <c r="D512" s="18" t="s">
        <v>249</v>
      </c>
      <c r="E512" s="17" t="s">
        <v>51</v>
      </c>
      <c r="F512" s="19">
        <v>182</v>
      </c>
      <c r="G512" s="20">
        <v>80</v>
      </c>
      <c r="H512" s="12">
        <f>G512/((F512/100)*(F512/100))</f>
      </c>
      <c r="I512" s="11">
        <f>IF(H512&lt;25,0,IF(H512&lt;30,1,2))</f>
      </c>
      <c r="J512" s="18" t="s">
        <v>263</v>
      </c>
      <c r="K512" s="17" t="s">
        <v>237</v>
      </c>
      <c r="L512" s="17" t="s">
        <v>264</v>
      </c>
      <c r="M512" s="17" t="s">
        <v>54</v>
      </c>
      <c r="N512" s="17" t="s">
        <v>38</v>
      </c>
      <c r="O512" s="17" t="s">
        <v>239</v>
      </c>
      <c r="P512" s="15" t="s">
        <v>132</v>
      </c>
      <c r="Q512" s="10">
        <f>IF(P512="None of the above",0,2)</f>
      </c>
      <c r="R512" s="17" t="s">
        <v>89</v>
      </c>
      <c r="S512" s="17" t="s">
        <v>42</v>
      </c>
      <c r="T512" s="17" t="s">
        <v>43</v>
      </c>
      <c r="U512" s="10">
        <f>IF(T512="Heavy physical",0,IF(T512="Moderate activity",1,2))</f>
      </c>
      <c r="V512" s="18" t="s">
        <v>57</v>
      </c>
      <c r="W512" s="10">
        <f>IF(V512="7–8 hours",0,IF(V512="6–7 hours",1,2))</f>
      </c>
      <c r="X512" s="17" t="s">
        <v>45</v>
      </c>
      <c r="Y512" s="17" t="s">
        <v>64</v>
      </c>
      <c r="Z512" s="17" t="s">
        <v>45</v>
      </c>
      <c r="AA512" s="17" t="s">
        <v>42</v>
      </c>
      <c r="AB512" s="17" t="s">
        <v>42</v>
      </c>
      <c r="AC512" s="17" t="s">
        <v>247</v>
      </c>
      <c r="AD512" s="10">
        <f>I512 + Q512 + U512 + W512</f>
      </c>
      <c r="AE512" s="10">
        <f>IF(AD512&lt;=2,0,IF(AD512&lt;=5,1,2))</f>
      </c>
      <c r="AF512" s="7"/>
    </row>
    <row x14ac:dyDescent="0.25" r="513" customHeight="1" ht="17.25" hidden="1">
      <c r="A513" s="17" t="s">
        <v>251</v>
      </c>
      <c r="B513" s="17" t="s">
        <v>241</v>
      </c>
      <c r="C513" s="17" t="s">
        <v>126</v>
      </c>
      <c r="D513" s="18" t="s">
        <v>249</v>
      </c>
      <c r="E513" s="17" t="s">
        <v>34</v>
      </c>
      <c r="F513" s="19">
        <v>150</v>
      </c>
      <c r="G513" s="20">
        <v>72</v>
      </c>
      <c r="H513" s="11">
        <f>G513/((F513/100)*(F513/100))</f>
      </c>
      <c r="I513" s="11">
        <f>IF(H513&lt;25,0,IF(H513&lt;30,1,2))</f>
      </c>
      <c r="J513" s="18" t="s">
        <v>236</v>
      </c>
      <c r="K513" s="17" t="s">
        <v>237</v>
      </c>
      <c r="L513" s="17" t="s">
        <v>36</v>
      </c>
      <c r="M513" s="17" t="s">
        <v>185</v>
      </c>
      <c r="N513" s="17" t="s">
        <v>179</v>
      </c>
      <c r="O513" s="17" t="s">
        <v>239</v>
      </c>
      <c r="P513" s="15" t="s">
        <v>132</v>
      </c>
      <c r="Q513" s="10">
        <f>IF(P513="None of the above",0,2)</f>
      </c>
      <c r="R513" s="17" t="s">
        <v>41</v>
      </c>
      <c r="S513" s="17" t="s">
        <v>42</v>
      </c>
      <c r="T513" s="17" t="s">
        <v>43</v>
      </c>
      <c r="U513" s="10">
        <f>IF(T513="Heavy physical",0,IF(T513="Moderate activity",1,2))</f>
      </c>
      <c r="V513" s="18" t="s">
        <v>57</v>
      </c>
      <c r="W513" s="10">
        <f>IF(V513="7–8 hours",0,IF(V513="6–7 hours",1,2))</f>
      </c>
      <c r="X513" s="17" t="s">
        <v>45</v>
      </c>
      <c r="Y513" s="17" t="s">
        <v>46</v>
      </c>
      <c r="Z513" s="17" t="s">
        <v>45</v>
      </c>
      <c r="AA513" s="17" t="s">
        <v>42</v>
      </c>
      <c r="AB513" s="17" t="s">
        <v>42</v>
      </c>
      <c r="AC513" s="17" t="s">
        <v>240</v>
      </c>
      <c r="AD513" s="10">
        <f>I513 + Q513 + U513 + W513</f>
      </c>
      <c r="AE513" s="10">
        <f>IF(AD513&lt;=2,0,IF(AD513&lt;=5,1,2))</f>
      </c>
      <c r="AF513" s="7"/>
    </row>
    <row x14ac:dyDescent="0.25" r="514" customHeight="1" ht="17.25" hidden="1">
      <c r="A514" s="17" t="s">
        <v>251</v>
      </c>
      <c r="B514" s="17" t="s">
        <v>241</v>
      </c>
      <c r="C514" s="17" t="s">
        <v>50</v>
      </c>
      <c r="D514" s="18" t="s">
        <v>242</v>
      </c>
      <c r="E514" s="17" t="s">
        <v>34</v>
      </c>
      <c r="F514" s="19">
        <v>157</v>
      </c>
      <c r="G514" s="20">
        <v>68</v>
      </c>
      <c r="H514" s="12">
        <f>G514/((F514/100)*(F514/100))</f>
      </c>
      <c r="I514" s="11">
        <f>IF(H514&lt;25,0,IF(H514&lt;30,1,2))</f>
      </c>
      <c r="J514" s="18" t="s">
        <v>246</v>
      </c>
      <c r="K514" s="17" t="s">
        <v>237</v>
      </c>
      <c r="L514" s="17" t="s">
        <v>265</v>
      </c>
      <c r="M514" s="17" t="s">
        <v>54</v>
      </c>
      <c r="N514" s="17" t="s">
        <v>38</v>
      </c>
      <c r="O514" s="17" t="s">
        <v>239</v>
      </c>
      <c r="P514" s="15" t="s">
        <v>132</v>
      </c>
      <c r="Q514" s="10">
        <f>IF(P514="None of the above",0,2)</f>
      </c>
      <c r="R514" s="17" t="s">
        <v>56</v>
      </c>
      <c r="S514" s="17" t="s">
        <v>42</v>
      </c>
      <c r="T514" s="17" t="s">
        <v>96</v>
      </c>
      <c r="U514" s="10">
        <f>IF(T514="Heavy physical",0,IF(T514="Moderate activity",1,2))</f>
      </c>
      <c r="V514" s="18" t="s">
        <v>69</v>
      </c>
      <c r="W514" s="10">
        <f>IF(V514="7–8 hours",0,IF(V514="6–7 hours",1,2))</f>
      </c>
      <c r="X514" s="17" t="s">
        <v>45</v>
      </c>
      <c r="Y514" s="17" t="s">
        <v>64</v>
      </c>
      <c r="Z514" s="17" t="s">
        <v>45</v>
      </c>
      <c r="AA514" s="17" t="s">
        <v>42</v>
      </c>
      <c r="AB514" s="17" t="s">
        <v>42</v>
      </c>
      <c r="AC514" s="17" t="s">
        <v>247</v>
      </c>
      <c r="AD514" s="10">
        <f>I514 + Q514 + U514 + W514</f>
      </c>
      <c r="AE514" s="10">
        <f>IF(AD514&lt;=2,0,IF(AD514&lt;=5,1,2))</f>
      </c>
      <c r="AF514" s="7"/>
    </row>
    <row x14ac:dyDescent="0.25" r="515" customHeight="1" ht="17.25" hidden="1">
      <c r="A515" s="17" t="s">
        <v>251</v>
      </c>
      <c r="B515" s="17" t="s">
        <v>241</v>
      </c>
      <c r="C515" s="17" t="s">
        <v>234</v>
      </c>
      <c r="D515" s="18" t="s">
        <v>242</v>
      </c>
      <c r="E515" s="17" t="s">
        <v>34</v>
      </c>
      <c r="F515" s="19">
        <v>160</v>
      </c>
      <c r="G515" s="20">
        <v>56</v>
      </c>
      <c r="H515" s="12">
        <f>G515/((F515/100)*(F515/100))</f>
      </c>
      <c r="I515" s="11">
        <f>IF(H515&lt;25,0,IF(H515&lt;30,1,2))</f>
      </c>
      <c r="J515" s="18" t="s">
        <v>246</v>
      </c>
      <c r="K515" s="17" t="s">
        <v>237</v>
      </c>
      <c r="L515" s="17" t="s">
        <v>266</v>
      </c>
      <c r="M515" s="17" t="s">
        <v>54</v>
      </c>
      <c r="N515" s="17" t="s">
        <v>179</v>
      </c>
      <c r="O515" s="17" t="s">
        <v>239</v>
      </c>
      <c r="P515" s="15" t="s">
        <v>132</v>
      </c>
      <c r="Q515" s="10">
        <f>IF(P515="None of the above",0,2)</f>
      </c>
      <c r="R515" s="17" t="s">
        <v>56</v>
      </c>
      <c r="S515" s="17" t="s">
        <v>42</v>
      </c>
      <c r="T515" s="17" t="s">
        <v>43</v>
      </c>
      <c r="U515" s="10">
        <f>IF(T515="Heavy physical",0,IF(T515="Moderate activity",1,2))</f>
      </c>
      <c r="V515" s="18" t="s">
        <v>44</v>
      </c>
      <c r="W515" s="10">
        <f>IF(V515="7–8 hours",0,IF(V515="6–7 hours",1,2))</f>
      </c>
      <c r="X515" s="17" t="s">
        <v>45</v>
      </c>
      <c r="Y515" s="17" t="s">
        <v>75</v>
      </c>
      <c r="Z515" s="17" t="s">
        <v>45</v>
      </c>
      <c r="AA515" s="17" t="s">
        <v>42</v>
      </c>
      <c r="AB515" s="17" t="s">
        <v>42</v>
      </c>
      <c r="AC515" s="17" t="s">
        <v>247</v>
      </c>
      <c r="AD515" s="10">
        <f>I515 + Q515 + U515 + W515</f>
      </c>
      <c r="AE515" s="10">
        <f>IF(AD515&lt;=2,0,IF(AD515&lt;=5,1,2))</f>
      </c>
      <c r="AF515" s="7"/>
    </row>
    <row x14ac:dyDescent="0.25" r="516" customHeight="1" ht="17.25" hidden="1">
      <c r="A516" s="17" t="s">
        <v>251</v>
      </c>
      <c r="B516" s="17" t="s">
        <v>241</v>
      </c>
      <c r="C516" s="17" t="s">
        <v>33</v>
      </c>
      <c r="D516" s="18" t="s">
        <v>242</v>
      </c>
      <c r="E516" s="17" t="s">
        <v>51</v>
      </c>
      <c r="F516" s="19">
        <v>168</v>
      </c>
      <c r="G516" s="20">
        <v>85</v>
      </c>
      <c r="H516" s="12">
        <f>G516/((F516/100)*(F516/100))</f>
      </c>
      <c r="I516" s="11">
        <f>IF(H516&lt;25,0,IF(H516&lt;30,1,2))</f>
      </c>
      <c r="J516" s="18" t="s">
        <v>246</v>
      </c>
      <c r="K516" s="17" t="s">
        <v>237</v>
      </c>
      <c r="L516" s="17" t="s">
        <v>267</v>
      </c>
      <c r="M516" s="17" t="s">
        <v>54</v>
      </c>
      <c r="N516" s="17" t="s">
        <v>38</v>
      </c>
      <c r="O516" s="17" t="s">
        <v>239</v>
      </c>
      <c r="P516" s="15" t="s">
        <v>132</v>
      </c>
      <c r="Q516" s="10">
        <f>IF(P516="None of the above",0,2)</f>
      </c>
      <c r="R516" s="17" t="s">
        <v>41</v>
      </c>
      <c r="S516" s="17" t="s">
        <v>42</v>
      </c>
      <c r="T516" s="17" t="s">
        <v>99</v>
      </c>
      <c r="U516" s="10">
        <f>IF(T516="Heavy physical",0,IF(T516="Moderate activity",1,2))</f>
      </c>
      <c r="V516" s="18" t="s">
        <v>57</v>
      </c>
      <c r="W516" s="10">
        <f>IF(V516="7–8 hours",0,IF(V516="6–7 hours",1,2))</f>
      </c>
      <c r="X516" s="17" t="s">
        <v>45</v>
      </c>
      <c r="Y516" s="17" t="s">
        <v>244</v>
      </c>
      <c r="Z516" s="17" t="s">
        <v>45</v>
      </c>
      <c r="AA516" s="17" t="s">
        <v>42</v>
      </c>
      <c r="AB516" s="17" t="s">
        <v>42</v>
      </c>
      <c r="AC516" s="17" t="s">
        <v>245</v>
      </c>
      <c r="AD516" s="10">
        <f>I516 + Q516 + U516 + W516</f>
      </c>
      <c r="AE516" s="10">
        <f>IF(AD516&lt;=2,0,IF(AD516&lt;=5,1,2))</f>
      </c>
      <c r="AF516" s="7"/>
    </row>
    <row x14ac:dyDescent="0.25" r="517" customHeight="1" ht="17.25" hidden="1">
      <c r="A517" s="17" t="s">
        <v>268</v>
      </c>
      <c r="B517" s="17" t="s">
        <v>241</v>
      </c>
      <c r="C517" s="17" t="s">
        <v>122</v>
      </c>
      <c r="D517" s="18" t="s">
        <v>242</v>
      </c>
      <c r="E517" s="17" t="s">
        <v>34</v>
      </c>
      <c r="F517" s="19">
        <v>151</v>
      </c>
      <c r="G517" s="20">
        <v>50</v>
      </c>
      <c r="H517" s="12">
        <f>G517/((F517/100)*(F517/100))</f>
      </c>
      <c r="I517" s="11">
        <f>IF(H517&lt;25,0,IF(H517&lt;30,1,2))</f>
      </c>
      <c r="J517" s="18" t="s">
        <v>246</v>
      </c>
      <c r="K517" s="17" t="s">
        <v>237</v>
      </c>
      <c r="L517" s="17" t="s">
        <v>238</v>
      </c>
      <c r="M517" s="17" t="s">
        <v>54</v>
      </c>
      <c r="N517" s="17" t="s">
        <v>38</v>
      </c>
      <c r="O517" s="17" t="s">
        <v>239</v>
      </c>
      <c r="P517" s="15" t="s">
        <v>132</v>
      </c>
      <c r="Q517" s="10">
        <f>IF(P517="None of the above",0,2)</f>
      </c>
      <c r="R517" s="17" t="s">
        <v>56</v>
      </c>
      <c r="S517" s="17" t="s">
        <v>42</v>
      </c>
      <c r="T517" s="17" t="s">
        <v>43</v>
      </c>
      <c r="U517" s="10">
        <f>IF(T517="Heavy physical",0,IF(T517="Moderate activity",1,2))</f>
      </c>
      <c r="V517" s="18" t="s">
        <v>57</v>
      </c>
      <c r="W517" s="10">
        <f>IF(V517="7–8 hours",0,IF(V517="6–7 hours",1,2))</f>
      </c>
      <c r="X517" s="17" t="s">
        <v>45</v>
      </c>
      <c r="Y517" s="17" t="s">
        <v>244</v>
      </c>
      <c r="Z517" s="17" t="s">
        <v>45</v>
      </c>
      <c r="AA517" s="17" t="s">
        <v>42</v>
      </c>
      <c r="AB517" s="17" t="s">
        <v>42</v>
      </c>
      <c r="AC517" s="17" t="s">
        <v>247</v>
      </c>
      <c r="AD517" s="10">
        <f>I517 + Q517 + U517 + W517</f>
      </c>
      <c r="AE517" s="10">
        <f>IF(AD517&lt;=2,0,IF(AD517&lt;=5,1,2))</f>
      </c>
      <c r="AF517" s="7"/>
    </row>
    <row x14ac:dyDescent="0.25" r="518" customHeight="1" ht="17.25" hidden="1">
      <c r="A518" s="17" t="s">
        <v>251</v>
      </c>
      <c r="B518" s="17" t="s">
        <v>252</v>
      </c>
      <c r="C518" s="17" t="s">
        <v>33</v>
      </c>
      <c r="D518" s="18" t="s">
        <v>269</v>
      </c>
      <c r="E518" s="17" t="s">
        <v>51</v>
      </c>
      <c r="F518" s="19">
        <v>181</v>
      </c>
      <c r="G518" s="20">
        <v>58</v>
      </c>
      <c r="H518" s="12">
        <f>G518/((F518/100)*(F518/100))</f>
      </c>
      <c r="I518" s="11">
        <f>IF(H518&lt;25,0,IF(H518&lt;30,1,2))</f>
      </c>
      <c r="J518" s="18" t="s">
        <v>246</v>
      </c>
      <c r="K518" s="17" t="s">
        <v>237</v>
      </c>
      <c r="L518" s="17" t="s">
        <v>238</v>
      </c>
      <c r="M518" s="17" t="s">
        <v>37</v>
      </c>
      <c r="N518" s="17" t="s">
        <v>38</v>
      </c>
      <c r="O518" s="17" t="s">
        <v>258</v>
      </c>
      <c r="P518" s="17" t="s">
        <v>81</v>
      </c>
      <c r="Q518" s="10">
        <f>IF(P518="None of the above",0,2)</f>
      </c>
      <c r="R518" s="17" t="s">
        <v>41</v>
      </c>
      <c r="S518" s="17" t="s">
        <v>42</v>
      </c>
      <c r="T518" s="17" t="s">
        <v>96</v>
      </c>
      <c r="U518" s="10">
        <f>IF(T518="Heavy physical",0,IF(T518="Moderate activity",1,2))</f>
      </c>
      <c r="V518" s="18" t="s">
        <v>57</v>
      </c>
      <c r="W518" s="10">
        <f>IF(V518="7–8 hours",0,IF(V518="6–7 hours",1,2))</f>
      </c>
      <c r="X518" s="17" t="s">
        <v>83</v>
      </c>
      <c r="Y518" s="17" t="s">
        <v>64</v>
      </c>
      <c r="Z518" s="17" t="s">
        <v>45</v>
      </c>
      <c r="AA518" s="17" t="s">
        <v>42</v>
      </c>
      <c r="AB518" s="17" t="s">
        <v>42</v>
      </c>
      <c r="AC518" s="17" t="s">
        <v>245</v>
      </c>
      <c r="AD518" s="10">
        <f>I518 + Q518 + U518 + W518</f>
      </c>
      <c r="AE518" s="10">
        <f>IF(AD518&lt;=2,0,IF(AD518&lt;=5,1,2))</f>
      </c>
      <c r="AF518" s="7"/>
    </row>
    <row x14ac:dyDescent="0.25" r="519" customHeight="1" ht="17.25" hidden="1">
      <c r="A519" s="17" t="s">
        <v>251</v>
      </c>
      <c r="B519" s="17" t="s">
        <v>233</v>
      </c>
      <c r="C519" s="17" t="s">
        <v>33</v>
      </c>
      <c r="D519" s="18" t="s">
        <v>242</v>
      </c>
      <c r="E519" s="17" t="s">
        <v>51</v>
      </c>
      <c r="F519" s="19">
        <v>160</v>
      </c>
      <c r="G519" s="20">
        <v>50</v>
      </c>
      <c r="H519" s="12">
        <f>G519/((F519/100)*(F519/100))</f>
      </c>
      <c r="I519" s="11">
        <f>IF(H519&lt;25,0,IF(H519&lt;30,1,2))</f>
      </c>
      <c r="J519" s="18" t="s">
        <v>263</v>
      </c>
      <c r="K519" s="17" t="s">
        <v>237</v>
      </c>
      <c r="L519" s="17" t="s">
        <v>270</v>
      </c>
      <c r="M519" s="17" t="s">
        <v>54</v>
      </c>
      <c r="N519" s="17" t="s">
        <v>201</v>
      </c>
      <c r="O519" s="17" t="s">
        <v>239</v>
      </c>
      <c r="P519" s="17" t="s">
        <v>81</v>
      </c>
      <c r="Q519" s="10">
        <f>IF(P519="None of the above",0,2)</f>
      </c>
      <c r="R519" s="17" t="s">
        <v>41</v>
      </c>
      <c r="S519" s="17" t="s">
        <v>42</v>
      </c>
      <c r="T519" s="17" t="s">
        <v>82</v>
      </c>
      <c r="U519" s="10">
        <f>IF(T519="Heavy physical",0,IF(T519="Moderate activity",1,2))</f>
      </c>
      <c r="V519" s="18" t="s">
        <v>44</v>
      </c>
      <c r="W519" s="10">
        <f>IF(V519="7–8 hours",0,IF(V519="6–7 hours",1,2))</f>
      </c>
      <c r="X519" s="17" t="s">
        <v>70</v>
      </c>
      <c r="Y519" s="17" t="s">
        <v>46</v>
      </c>
      <c r="Z519" s="17" t="s">
        <v>45</v>
      </c>
      <c r="AA519" s="17" t="s">
        <v>42</v>
      </c>
      <c r="AB519" s="17" t="s">
        <v>42</v>
      </c>
      <c r="AC519" s="17" t="s">
        <v>245</v>
      </c>
      <c r="AD519" s="10">
        <f>I519 + Q519 + U519 + W519</f>
      </c>
      <c r="AE519" s="10">
        <f>IF(AD519&lt;=2,0,IF(AD519&lt;=5,1,2))</f>
      </c>
      <c r="AF519" s="7"/>
    </row>
    <row x14ac:dyDescent="0.25" r="520" customHeight="1" ht="17.25" hidden="1">
      <c r="A520" s="17" t="s">
        <v>251</v>
      </c>
      <c r="B520" s="17" t="s">
        <v>252</v>
      </c>
      <c r="C520" s="17" t="s">
        <v>271</v>
      </c>
      <c r="D520" s="18" t="s">
        <v>242</v>
      </c>
      <c r="E520" s="17" t="s">
        <v>34</v>
      </c>
      <c r="F520" s="19">
        <v>158</v>
      </c>
      <c r="G520" s="20">
        <v>52</v>
      </c>
      <c r="H520" s="12">
        <f>G520/((F520/100)*(F520/100))</f>
      </c>
      <c r="I520" s="11">
        <f>IF(H520&lt;25,0,IF(H520&lt;30,1,2))</f>
      </c>
      <c r="J520" s="18" t="s">
        <v>246</v>
      </c>
      <c r="K520" s="17" t="s">
        <v>237</v>
      </c>
      <c r="L520" s="17" t="s">
        <v>250</v>
      </c>
      <c r="M520" s="17" t="s">
        <v>37</v>
      </c>
      <c r="N520" s="17" t="s">
        <v>179</v>
      </c>
      <c r="O520" s="17" t="s">
        <v>239</v>
      </c>
      <c r="P520" s="17" t="s">
        <v>81</v>
      </c>
      <c r="Q520" s="10">
        <f>IF(P520="None of the above",0,2)</f>
      </c>
      <c r="R520" s="17" t="s">
        <v>41</v>
      </c>
      <c r="S520" s="17" t="s">
        <v>42</v>
      </c>
      <c r="T520" s="17" t="s">
        <v>96</v>
      </c>
      <c r="U520" s="10">
        <f>IF(T520="Heavy physical",0,IF(T520="Moderate activity",1,2))</f>
      </c>
      <c r="V520" s="18" t="s">
        <v>44</v>
      </c>
      <c r="W520" s="10">
        <f>IF(V520="7–8 hours",0,IF(V520="6–7 hours",1,2))</f>
      </c>
      <c r="X520" s="17" t="s">
        <v>70</v>
      </c>
      <c r="Y520" s="17" t="s">
        <v>75</v>
      </c>
      <c r="Z520" s="17" t="s">
        <v>45</v>
      </c>
      <c r="AA520" s="17" t="s">
        <v>42</v>
      </c>
      <c r="AB520" s="17" t="s">
        <v>42</v>
      </c>
      <c r="AC520" s="17" t="s">
        <v>247</v>
      </c>
      <c r="AD520" s="10">
        <f>I520 + Q520 + U520 + W520</f>
      </c>
      <c r="AE520" s="10">
        <f>IF(AD520&lt;=2,0,IF(AD520&lt;=5,1,2))</f>
      </c>
      <c r="AF520" s="7"/>
    </row>
    <row x14ac:dyDescent="0.25" r="521" customHeight="1" ht="17.25" hidden="1">
      <c r="A521" s="17" t="s">
        <v>251</v>
      </c>
      <c r="B521" s="17" t="s">
        <v>233</v>
      </c>
      <c r="C521" s="17" t="s">
        <v>33</v>
      </c>
      <c r="D521" s="18" t="s">
        <v>242</v>
      </c>
      <c r="E521" s="17" t="s">
        <v>34</v>
      </c>
      <c r="F521" s="19">
        <v>152</v>
      </c>
      <c r="G521" s="20">
        <v>70</v>
      </c>
      <c r="H521" s="12">
        <f>G521/((F521/100)*(F521/100))</f>
      </c>
      <c r="I521" s="11">
        <f>IF(H521&lt;25,0,IF(H521&lt;30,1,2))</f>
      </c>
      <c r="J521" s="18" t="s">
        <v>246</v>
      </c>
      <c r="K521" s="17" t="s">
        <v>237</v>
      </c>
      <c r="L521" s="17" t="s">
        <v>238</v>
      </c>
      <c r="M521" s="17" t="s">
        <v>37</v>
      </c>
      <c r="N521" s="17" t="s">
        <v>38</v>
      </c>
      <c r="O521" s="17" t="s">
        <v>272</v>
      </c>
      <c r="P521" s="17" t="s">
        <v>81</v>
      </c>
      <c r="Q521" s="10">
        <f>IF(P521="None of the above",0,2)</f>
      </c>
      <c r="R521" s="17" t="s">
        <v>56</v>
      </c>
      <c r="S521" s="17" t="s">
        <v>42</v>
      </c>
      <c r="T521" s="17" t="s">
        <v>43</v>
      </c>
      <c r="U521" s="10">
        <f>IF(T521="Heavy physical",0,IF(T521="Moderate activity",1,2))</f>
      </c>
      <c r="V521" s="18" t="s">
        <v>69</v>
      </c>
      <c r="W521" s="10">
        <f>IF(V521="7–8 hours",0,IF(V521="6–7 hours",1,2))</f>
      </c>
      <c r="X521" s="17" t="s">
        <v>45</v>
      </c>
      <c r="Y521" s="17" t="s">
        <v>46</v>
      </c>
      <c r="Z521" s="17" t="s">
        <v>45</v>
      </c>
      <c r="AA521" s="17" t="s">
        <v>42</v>
      </c>
      <c r="AB521" s="17" t="s">
        <v>42</v>
      </c>
      <c r="AC521" s="17" t="s">
        <v>247</v>
      </c>
      <c r="AD521" s="10">
        <f>I521 + Q521 + U521 + W521</f>
      </c>
      <c r="AE521" s="10">
        <f>IF(AD521&lt;=2,0,IF(AD521&lt;=5,1,2))</f>
      </c>
      <c r="AF521" s="7"/>
    </row>
    <row x14ac:dyDescent="0.25" r="522" customHeight="1" ht="17.25" hidden="1">
      <c r="A522" s="17" t="s">
        <v>251</v>
      </c>
      <c r="B522" s="17" t="s">
        <v>273</v>
      </c>
      <c r="C522" s="17" t="s">
        <v>33</v>
      </c>
      <c r="D522" s="18" t="s">
        <v>274</v>
      </c>
      <c r="E522" s="17" t="s">
        <v>51</v>
      </c>
      <c r="F522" s="19">
        <v>175</v>
      </c>
      <c r="G522" s="20">
        <v>60</v>
      </c>
      <c r="H522" s="12">
        <f>G522/((F522/100)*(F522/100))</f>
      </c>
      <c r="I522" s="11">
        <f>IF(H522&lt;25,0,IF(H522&lt;30,1,2))</f>
      </c>
      <c r="J522" s="18" t="s">
        <v>246</v>
      </c>
      <c r="K522" s="17" t="s">
        <v>237</v>
      </c>
      <c r="L522" s="17" t="s">
        <v>262</v>
      </c>
      <c r="M522" s="17" t="s">
        <v>37</v>
      </c>
      <c r="N522" s="17" t="s">
        <v>38</v>
      </c>
      <c r="O522" s="17" t="s">
        <v>258</v>
      </c>
      <c r="P522" s="15" t="s">
        <v>132</v>
      </c>
      <c r="Q522" s="10">
        <f>IF(P522="None of the above",0,2)</f>
      </c>
      <c r="R522" s="17" t="s">
        <v>56</v>
      </c>
      <c r="S522" s="17" t="s">
        <v>48</v>
      </c>
      <c r="T522" s="17" t="s">
        <v>275</v>
      </c>
      <c r="U522" s="10">
        <f>IF(T522="Heavy physical",0,IF(T522="Moderate activity",1,2))</f>
      </c>
      <c r="V522" s="18" t="s">
        <v>44</v>
      </c>
      <c r="W522" s="10">
        <f>IF(V522="7–8 hours",0,IF(V522="6–7 hours",1,2))</f>
      </c>
      <c r="X522" s="17" t="s">
        <v>45</v>
      </c>
      <c r="Y522" s="17" t="s">
        <v>276</v>
      </c>
      <c r="Z522" s="17" t="s">
        <v>45</v>
      </c>
      <c r="AA522" s="17" t="s">
        <v>42</v>
      </c>
      <c r="AB522" s="17" t="s">
        <v>42</v>
      </c>
      <c r="AC522" s="17" t="s">
        <v>245</v>
      </c>
      <c r="AD522" s="10">
        <f>I522 + Q522 + U522 + W522</f>
      </c>
      <c r="AE522" s="10">
        <f>IF(AD522&lt;=2,0,IF(AD522&lt;=5,1,2))</f>
      </c>
      <c r="AF522" s="7"/>
    </row>
    <row x14ac:dyDescent="0.25" r="523" customHeight="1" ht="17.25" hidden="1">
      <c r="A523" s="17" t="s">
        <v>251</v>
      </c>
      <c r="B523" s="17" t="s">
        <v>252</v>
      </c>
      <c r="C523" s="17" t="s">
        <v>33</v>
      </c>
      <c r="D523" s="18" t="s">
        <v>242</v>
      </c>
      <c r="E523" s="17" t="s">
        <v>51</v>
      </c>
      <c r="F523" s="19">
        <v>180</v>
      </c>
      <c r="G523" s="20">
        <v>84</v>
      </c>
      <c r="H523" s="12">
        <f>G523/((F523/100)*(F523/100))</f>
      </c>
      <c r="I523" s="11">
        <f>IF(H523&lt;25,0,IF(H523&lt;30,1,2))</f>
      </c>
      <c r="J523" s="18" t="s">
        <v>246</v>
      </c>
      <c r="K523" s="17" t="s">
        <v>237</v>
      </c>
      <c r="L523" s="17" t="s">
        <v>243</v>
      </c>
      <c r="M523" s="17" t="s">
        <v>54</v>
      </c>
      <c r="N523" s="17" t="s">
        <v>201</v>
      </c>
      <c r="O523" s="17" t="s">
        <v>239</v>
      </c>
      <c r="P523" s="15" t="s">
        <v>132</v>
      </c>
      <c r="Q523" s="10">
        <f>IF(P523="None of the above",0,2)</f>
      </c>
      <c r="R523" s="17" t="s">
        <v>41</v>
      </c>
      <c r="S523" s="17" t="s">
        <v>42</v>
      </c>
      <c r="T523" s="17" t="s">
        <v>43</v>
      </c>
      <c r="U523" s="10">
        <f>IF(T523="Heavy physical",0,IF(T523="Moderate activity",1,2))</f>
      </c>
      <c r="V523" s="18" t="s">
        <v>69</v>
      </c>
      <c r="W523" s="10">
        <f>IF(V523="7–8 hours",0,IF(V523="6–7 hours",1,2))</f>
      </c>
      <c r="X523" s="17" t="s">
        <v>45</v>
      </c>
      <c r="Y523" s="17" t="s">
        <v>244</v>
      </c>
      <c r="Z523" s="17" t="s">
        <v>45</v>
      </c>
      <c r="AA523" s="17" t="s">
        <v>42</v>
      </c>
      <c r="AB523" s="17" t="s">
        <v>42</v>
      </c>
      <c r="AC523" s="17" t="s">
        <v>245</v>
      </c>
      <c r="AD523" s="10">
        <f>I523 + Q523 + U523 + W523</f>
      </c>
      <c r="AE523" s="10">
        <f>IF(AD523&lt;=2,0,IF(AD523&lt;=5,1,2))</f>
      </c>
      <c r="AF523" s="7"/>
    </row>
    <row x14ac:dyDescent="0.25" r="524" customHeight="1" ht="17.25" hidden="1">
      <c r="A524" s="17" t="s">
        <v>251</v>
      </c>
      <c r="B524" s="17" t="s">
        <v>241</v>
      </c>
      <c r="C524" s="17" t="s">
        <v>50</v>
      </c>
      <c r="D524" s="18" t="s">
        <v>242</v>
      </c>
      <c r="E524" s="17" t="s">
        <v>34</v>
      </c>
      <c r="F524" s="19">
        <v>168</v>
      </c>
      <c r="G524" s="20">
        <v>68</v>
      </c>
      <c r="H524" s="12">
        <f>G524/((F524/100)*(F524/100))</f>
      </c>
      <c r="I524" s="11">
        <f>IF(H524&lt;25,0,IF(H524&lt;30,1,2))</f>
      </c>
      <c r="J524" s="18" t="s">
        <v>236</v>
      </c>
      <c r="K524" s="17" t="s">
        <v>237</v>
      </c>
      <c r="L524" s="17" t="s">
        <v>277</v>
      </c>
      <c r="M524" s="17" t="s">
        <v>37</v>
      </c>
      <c r="N524" s="17" t="s">
        <v>118</v>
      </c>
      <c r="O524" s="17" t="s">
        <v>239</v>
      </c>
      <c r="P524" s="15" t="s">
        <v>132</v>
      </c>
      <c r="Q524" s="10">
        <f>IF(P524="None of the above",0,2)</f>
      </c>
      <c r="R524" s="17" t="s">
        <v>56</v>
      </c>
      <c r="S524" s="17" t="s">
        <v>42</v>
      </c>
      <c r="T524" s="17" t="s">
        <v>43</v>
      </c>
      <c r="U524" s="10">
        <f>IF(T524="Heavy physical",0,IF(T524="Moderate activity",1,2))</f>
      </c>
      <c r="V524" s="18" t="s">
        <v>69</v>
      </c>
      <c r="W524" s="10">
        <f>IF(V524="7–8 hours",0,IF(V524="6–7 hours",1,2))</f>
      </c>
      <c r="X524" s="17" t="s">
        <v>45</v>
      </c>
      <c r="Y524" s="17" t="s">
        <v>64</v>
      </c>
      <c r="Z524" s="17" t="s">
        <v>45</v>
      </c>
      <c r="AA524" s="17" t="s">
        <v>42</v>
      </c>
      <c r="AB524" s="17" t="s">
        <v>42</v>
      </c>
      <c r="AC524" s="17" t="s">
        <v>247</v>
      </c>
      <c r="AD524" s="10">
        <f>I524 + Q524 + U524 + W524</f>
      </c>
      <c r="AE524" s="10">
        <f>IF(AD524&lt;=2,0,IF(AD524&lt;=5,1,2))</f>
      </c>
      <c r="AF524" s="7"/>
    </row>
    <row x14ac:dyDescent="0.25" r="525" customHeight="1" ht="17.25" hidden="1">
      <c r="A525" s="17" t="s">
        <v>251</v>
      </c>
      <c r="B525" s="17" t="s">
        <v>252</v>
      </c>
      <c r="C525" s="17" t="s">
        <v>50</v>
      </c>
      <c r="D525" s="18" t="s">
        <v>242</v>
      </c>
      <c r="E525" s="17" t="s">
        <v>51</v>
      </c>
      <c r="F525" s="19">
        <v>187</v>
      </c>
      <c r="G525" s="20">
        <v>57</v>
      </c>
      <c r="H525" s="12">
        <f>G525/((F525/100)*(F525/100))</f>
      </c>
      <c r="I525" s="11">
        <f>IF(H525&lt;25,0,IF(H525&lt;30,1,2))</f>
      </c>
      <c r="J525" s="18" t="s">
        <v>246</v>
      </c>
      <c r="K525" s="17" t="s">
        <v>237</v>
      </c>
      <c r="L525" s="17" t="s">
        <v>88</v>
      </c>
      <c r="M525" s="17" t="s">
        <v>37</v>
      </c>
      <c r="N525" s="17" t="s">
        <v>38</v>
      </c>
      <c r="O525" s="17" t="s">
        <v>239</v>
      </c>
      <c r="P525" s="15" t="s">
        <v>132</v>
      </c>
      <c r="Q525" s="10">
        <f>IF(P525="None of the above",0,2)</f>
      </c>
      <c r="R525" s="17" t="s">
        <v>56</v>
      </c>
      <c r="S525" s="17" t="s">
        <v>42</v>
      </c>
      <c r="T525" s="17" t="s">
        <v>96</v>
      </c>
      <c r="U525" s="10">
        <f>IF(T525="Heavy physical",0,IF(T525="Moderate activity",1,2))</f>
      </c>
      <c r="V525" s="18" t="s">
        <v>44</v>
      </c>
      <c r="W525" s="10">
        <f>IF(V525="7–8 hours",0,IF(V525="6–7 hours",1,2))</f>
      </c>
      <c r="X525" s="17" t="s">
        <v>45</v>
      </c>
      <c r="Y525" s="17" t="s">
        <v>244</v>
      </c>
      <c r="Z525" s="17" t="s">
        <v>278</v>
      </c>
      <c r="AA525" s="17" t="s">
        <v>42</v>
      </c>
      <c r="AB525" s="17" t="s">
        <v>42</v>
      </c>
      <c r="AC525" s="17" t="s">
        <v>245</v>
      </c>
      <c r="AD525" s="10">
        <f>I525 + Q525 + U525 + W525</f>
      </c>
      <c r="AE525" s="10">
        <f>IF(AD525&lt;=2,0,IF(AD525&lt;=5,1,2))</f>
      </c>
      <c r="AF525" s="7"/>
    </row>
    <row x14ac:dyDescent="0.25" r="526" customHeight="1" ht="17.25" hidden="1">
      <c r="A526" s="17" t="s">
        <v>251</v>
      </c>
      <c r="B526" s="17" t="s">
        <v>233</v>
      </c>
      <c r="C526" s="17" t="s">
        <v>33</v>
      </c>
      <c r="D526" s="18" t="s">
        <v>242</v>
      </c>
      <c r="E526" s="17" t="s">
        <v>34</v>
      </c>
      <c r="F526" s="19">
        <v>168</v>
      </c>
      <c r="G526" s="20">
        <v>53</v>
      </c>
      <c r="H526" s="12">
        <f>G526/((F526/100)*(F526/100))</f>
      </c>
      <c r="I526" s="11">
        <f>IF(H526&lt;25,0,IF(H526&lt;30,1,2))</f>
      </c>
      <c r="J526" s="18" t="s">
        <v>246</v>
      </c>
      <c r="K526" s="17" t="s">
        <v>237</v>
      </c>
      <c r="L526" s="17" t="s">
        <v>250</v>
      </c>
      <c r="M526" s="17" t="s">
        <v>37</v>
      </c>
      <c r="N526" s="17" t="s">
        <v>38</v>
      </c>
      <c r="O526" s="17" t="s">
        <v>239</v>
      </c>
      <c r="P526" s="15" t="s">
        <v>132</v>
      </c>
      <c r="Q526" s="10">
        <f>IF(P526="None of the above",0,2)</f>
      </c>
      <c r="R526" s="17" t="s">
        <v>56</v>
      </c>
      <c r="S526" s="17" t="s">
        <v>48</v>
      </c>
      <c r="T526" s="17" t="s">
        <v>96</v>
      </c>
      <c r="U526" s="10">
        <f>IF(T526="Heavy physical",0,IF(T526="Moderate activity",1,2))</f>
      </c>
      <c r="V526" s="18" t="s">
        <v>69</v>
      </c>
      <c r="W526" s="10">
        <f>IF(V526="7–8 hours",0,IF(V526="6–7 hours",1,2))</f>
      </c>
      <c r="X526" s="17" t="s">
        <v>45</v>
      </c>
      <c r="Y526" s="17" t="s">
        <v>46</v>
      </c>
      <c r="Z526" s="17" t="s">
        <v>45</v>
      </c>
      <c r="AA526" s="17" t="s">
        <v>42</v>
      </c>
      <c r="AB526" s="17" t="s">
        <v>42</v>
      </c>
      <c r="AC526" s="17" t="s">
        <v>247</v>
      </c>
      <c r="AD526" s="10">
        <f>I526 + Q526 + U526 + W526</f>
      </c>
      <c r="AE526" s="10">
        <f>IF(AD526&lt;=2,0,IF(AD526&lt;=5,1,2))</f>
      </c>
      <c r="AF526" s="7"/>
    </row>
    <row x14ac:dyDescent="0.25" r="527" customHeight="1" ht="17.25" hidden="1">
      <c r="A527" s="17" t="s">
        <v>251</v>
      </c>
      <c r="B527" s="17" t="s">
        <v>252</v>
      </c>
      <c r="C527" s="17" t="s">
        <v>33</v>
      </c>
      <c r="D527" s="18" t="s">
        <v>242</v>
      </c>
      <c r="E527" s="17" t="s">
        <v>34</v>
      </c>
      <c r="F527" s="19">
        <v>152</v>
      </c>
      <c r="G527" s="20">
        <v>75</v>
      </c>
      <c r="H527" s="12">
        <f>G527/((F527/100)*(F527/100))</f>
      </c>
      <c r="I527" s="11">
        <f>IF(H527&lt;25,0,IF(H527&lt;30,1,2))</f>
      </c>
      <c r="J527" s="18" t="s">
        <v>236</v>
      </c>
      <c r="K527" s="17" t="s">
        <v>237</v>
      </c>
      <c r="L527" s="17" t="s">
        <v>270</v>
      </c>
      <c r="M527" s="17" t="s">
        <v>37</v>
      </c>
      <c r="N527" s="17" t="s">
        <v>201</v>
      </c>
      <c r="O527" s="17" t="s">
        <v>239</v>
      </c>
      <c r="P527" s="15" t="s">
        <v>132</v>
      </c>
      <c r="Q527" s="10">
        <f>IF(P527="None of the above",0,2)</f>
      </c>
      <c r="R527" s="17" t="s">
        <v>56</v>
      </c>
      <c r="S527" s="17" t="s">
        <v>42</v>
      </c>
      <c r="T527" s="17" t="s">
        <v>99</v>
      </c>
      <c r="U527" s="10">
        <f>IF(T527="Heavy physical",0,IF(T527="Moderate activity",1,2))</f>
      </c>
      <c r="V527" s="18" t="s">
        <v>69</v>
      </c>
      <c r="W527" s="10">
        <f>IF(V527="7–8 hours",0,IF(V527="6–7 hours",1,2))</f>
      </c>
      <c r="X527" s="17" t="s">
        <v>45</v>
      </c>
      <c r="Y527" s="17" t="s">
        <v>75</v>
      </c>
      <c r="Z527" s="17" t="s">
        <v>45</v>
      </c>
      <c r="AA527" s="17" t="s">
        <v>42</v>
      </c>
      <c r="AB527" s="17" t="s">
        <v>42</v>
      </c>
      <c r="AC527" s="17" t="s">
        <v>247</v>
      </c>
      <c r="AD527" s="10">
        <f>I527 + Q527 + U527 + W527</f>
      </c>
      <c r="AE527" s="10">
        <f>IF(AD527&lt;=2,0,IF(AD527&lt;=5,1,2))</f>
      </c>
      <c r="AF527" s="7"/>
    </row>
    <row x14ac:dyDescent="0.25" r="528" customHeight="1" ht="17.25" hidden="1">
      <c r="A528" s="17" t="s">
        <v>251</v>
      </c>
      <c r="B528" s="17" t="s">
        <v>241</v>
      </c>
      <c r="C528" s="17" t="s">
        <v>141</v>
      </c>
      <c r="D528" s="18" t="s">
        <v>242</v>
      </c>
      <c r="E528" s="17" t="s">
        <v>34</v>
      </c>
      <c r="F528" s="19">
        <v>167</v>
      </c>
      <c r="G528" s="20">
        <v>56</v>
      </c>
      <c r="H528" s="12">
        <f>G528/((F528/100)*(F528/100))</f>
      </c>
      <c r="I528" s="11">
        <f>IF(H528&lt;25,0,IF(H528&lt;30,1,2))</f>
      </c>
      <c r="J528" s="18" t="s">
        <v>246</v>
      </c>
      <c r="K528" s="17" t="s">
        <v>237</v>
      </c>
      <c r="L528" s="17" t="s">
        <v>262</v>
      </c>
      <c r="M528" s="17" t="s">
        <v>54</v>
      </c>
      <c r="N528" s="17" t="s">
        <v>179</v>
      </c>
      <c r="O528" s="17" t="s">
        <v>239</v>
      </c>
      <c r="P528" s="15" t="s">
        <v>132</v>
      </c>
      <c r="Q528" s="10">
        <f>IF(P528="None of the above",0,2)</f>
      </c>
      <c r="R528" s="17" t="s">
        <v>56</v>
      </c>
      <c r="S528" s="17" t="s">
        <v>48</v>
      </c>
      <c r="T528" s="17" t="s">
        <v>96</v>
      </c>
      <c r="U528" s="10">
        <f>IF(T528="Heavy physical",0,IF(T528="Moderate activity",1,2))</f>
      </c>
      <c r="V528" s="18" t="s">
        <v>69</v>
      </c>
      <c r="W528" s="10">
        <f>IF(V528="7–8 hours",0,IF(V528="6–7 hours",1,2))</f>
      </c>
      <c r="X528" s="17" t="s">
        <v>45</v>
      </c>
      <c r="Y528" s="17" t="s">
        <v>244</v>
      </c>
      <c r="Z528" s="17" t="s">
        <v>65</v>
      </c>
      <c r="AA528" s="17" t="s">
        <v>42</v>
      </c>
      <c r="AB528" s="17" t="s">
        <v>42</v>
      </c>
      <c r="AC528" s="17" t="s">
        <v>247</v>
      </c>
      <c r="AD528" s="10">
        <f>I528 + Q528 + U528 + W528</f>
      </c>
      <c r="AE528" s="10">
        <f>IF(AD528&lt;=2,0,IF(AD528&lt;=5,1,2))</f>
      </c>
      <c r="AF528" s="7"/>
    </row>
    <row x14ac:dyDescent="0.25" r="529" customHeight="1" ht="17.25" hidden="1">
      <c r="A529" s="17" t="s">
        <v>251</v>
      </c>
      <c r="B529" s="17" t="s">
        <v>252</v>
      </c>
      <c r="C529" s="17" t="s">
        <v>253</v>
      </c>
      <c r="D529" s="18" t="s">
        <v>242</v>
      </c>
      <c r="E529" s="17" t="s">
        <v>34</v>
      </c>
      <c r="F529" s="19">
        <v>158</v>
      </c>
      <c r="G529" s="20">
        <v>40</v>
      </c>
      <c r="H529" s="12">
        <f>G529/((F529/100)*(F529/100))</f>
      </c>
      <c r="I529" s="11">
        <f>IF(H529&lt;25,0,IF(H529&lt;30,1,2))</f>
      </c>
      <c r="J529" s="18" t="s">
        <v>246</v>
      </c>
      <c r="K529" s="17" t="s">
        <v>237</v>
      </c>
      <c r="L529" s="17" t="s">
        <v>36</v>
      </c>
      <c r="M529" s="17" t="s">
        <v>54</v>
      </c>
      <c r="N529" s="17" t="s">
        <v>38</v>
      </c>
      <c r="O529" s="17" t="s">
        <v>239</v>
      </c>
      <c r="P529" s="15" t="s">
        <v>132</v>
      </c>
      <c r="Q529" s="10">
        <f>IF(P529="None of the above",0,2)</f>
      </c>
      <c r="R529" s="17" t="s">
        <v>41</v>
      </c>
      <c r="S529" s="17" t="s">
        <v>48</v>
      </c>
      <c r="T529" s="17" t="s">
        <v>43</v>
      </c>
      <c r="U529" s="10">
        <f>IF(T529="Heavy physical",0,IF(T529="Moderate activity",1,2))</f>
      </c>
      <c r="V529" s="18" t="s">
        <v>69</v>
      </c>
      <c r="W529" s="10">
        <f>IF(V529="7–8 hours",0,IF(V529="6–7 hours",1,2))</f>
      </c>
      <c r="X529" s="17" t="s">
        <v>45</v>
      </c>
      <c r="Y529" s="17" t="s">
        <v>46</v>
      </c>
      <c r="Z529" s="17" t="s">
        <v>92</v>
      </c>
      <c r="AA529" s="17" t="s">
        <v>42</v>
      </c>
      <c r="AB529" s="17" t="s">
        <v>42</v>
      </c>
      <c r="AC529" s="17" t="s">
        <v>247</v>
      </c>
      <c r="AD529" s="10">
        <f>I529 + Q529 + U529 + W529</f>
      </c>
      <c r="AE529" s="10">
        <f>IF(AD529&lt;=2,0,IF(AD529&lt;=5,1,2))</f>
      </c>
      <c r="AF529" s="7"/>
    </row>
    <row x14ac:dyDescent="0.25" r="530" customHeight="1" ht="17.25" hidden="1">
      <c r="A530" s="17" t="s">
        <v>251</v>
      </c>
      <c r="B530" s="17" t="s">
        <v>233</v>
      </c>
      <c r="C530" s="17" t="s">
        <v>234</v>
      </c>
      <c r="D530" s="18" t="s">
        <v>242</v>
      </c>
      <c r="E530" s="17" t="s">
        <v>34</v>
      </c>
      <c r="F530" s="21">
        <v>170.688</v>
      </c>
      <c r="G530" s="20">
        <v>50</v>
      </c>
      <c r="H530" s="12">
        <f>G530/((F530/100)*(F530/100))</f>
      </c>
      <c r="I530" s="11">
        <f>IF(H530&lt;25,0,IF(H530&lt;30,1,2))</f>
      </c>
      <c r="J530" s="18" t="s">
        <v>246</v>
      </c>
      <c r="K530" s="17" t="s">
        <v>237</v>
      </c>
      <c r="L530" s="17" t="s">
        <v>279</v>
      </c>
      <c r="M530" s="17" t="s">
        <v>37</v>
      </c>
      <c r="N530" s="17" t="s">
        <v>179</v>
      </c>
      <c r="O530" s="17" t="s">
        <v>239</v>
      </c>
      <c r="P530" s="15" t="s">
        <v>132</v>
      </c>
      <c r="Q530" s="10">
        <f>IF(P530="None of the above",0,2)</f>
      </c>
      <c r="R530" s="17" t="s">
        <v>56</v>
      </c>
      <c r="S530" s="17" t="s">
        <v>42</v>
      </c>
      <c r="T530" s="17" t="s">
        <v>96</v>
      </c>
      <c r="U530" s="10">
        <f>IF(T530="Heavy physical",0,IF(T530="Moderate activity",1,2))</f>
      </c>
      <c r="V530" s="18" t="s">
        <v>44</v>
      </c>
      <c r="W530" s="10">
        <f>IF(V530="7–8 hours",0,IF(V530="6–7 hours",1,2))</f>
      </c>
      <c r="X530" s="17" t="s">
        <v>45</v>
      </c>
      <c r="Y530" s="17" t="s">
        <v>75</v>
      </c>
      <c r="Z530" s="17" t="s">
        <v>45</v>
      </c>
      <c r="AA530" s="17" t="s">
        <v>42</v>
      </c>
      <c r="AB530" s="17" t="s">
        <v>42</v>
      </c>
      <c r="AC530" s="17" t="s">
        <v>240</v>
      </c>
      <c r="AD530" s="10">
        <f>I530 + Q530 + U530 + W530</f>
      </c>
      <c r="AE530" s="10">
        <f>IF(AD530&lt;=2,0,IF(AD530&lt;=5,1,2))</f>
      </c>
      <c r="AF530" s="7"/>
    </row>
    <row x14ac:dyDescent="0.25" r="531" customHeight="1" ht="17.25" hidden="1">
      <c r="A531" s="17" t="s">
        <v>251</v>
      </c>
      <c r="B531" s="17" t="s">
        <v>252</v>
      </c>
      <c r="C531" s="17" t="s">
        <v>33</v>
      </c>
      <c r="D531" s="18" t="s">
        <v>242</v>
      </c>
      <c r="E531" s="17" t="s">
        <v>34</v>
      </c>
      <c r="F531" s="19">
        <v>149</v>
      </c>
      <c r="G531" s="20">
        <v>45</v>
      </c>
      <c r="H531" s="12">
        <f>G531/((F531/100)*(F531/100))</f>
      </c>
      <c r="I531" s="11">
        <f>IF(H531&lt;25,0,IF(H531&lt;30,1,2))</f>
      </c>
      <c r="J531" s="18" t="s">
        <v>246</v>
      </c>
      <c r="K531" s="17" t="s">
        <v>237</v>
      </c>
      <c r="L531" s="17" t="s">
        <v>250</v>
      </c>
      <c r="M531" s="17" t="s">
        <v>54</v>
      </c>
      <c r="N531" s="17" t="s">
        <v>38</v>
      </c>
      <c r="O531" s="17" t="s">
        <v>280</v>
      </c>
      <c r="P531" s="15" t="s">
        <v>132</v>
      </c>
      <c r="Q531" s="10">
        <f>IF(P531="None of the above",0,2)</f>
      </c>
      <c r="R531" s="17" t="s">
        <v>56</v>
      </c>
      <c r="S531" s="17" t="s">
        <v>48</v>
      </c>
      <c r="T531" s="17" t="s">
        <v>99</v>
      </c>
      <c r="U531" s="10">
        <f>IF(T531="Heavy physical",0,IF(T531="Moderate activity",1,2))</f>
      </c>
      <c r="V531" s="18" t="s">
        <v>97</v>
      </c>
      <c r="W531" s="10">
        <f>IF(V531="7–8 hours",0,IF(V531="6–7 hours",1,2))</f>
      </c>
      <c r="X531" s="17" t="s">
        <v>45</v>
      </c>
      <c r="Y531" s="17" t="s">
        <v>64</v>
      </c>
      <c r="Z531" s="17" t="s">
        <v>45</v>
      </c>
      <c r="AA531" s="17" t="s">
        <v>42</v>
      </c>
      <c r="AB531" s="17" t="s">
        <v>42</v>
      </c>
      <c r="AC531" s="17" t="s">
        <v>247</v>
      </c>
      <c r="AD531" s="10">
        <f>I531 + Q531 + U531 + W531</f>
      </c>
      <c r="AE531" s="10">
        <f>IF(AD531&lt;=2,0,IF(AD531&lt;=5,1,2))</f>
      </c>
      <c r="AF531" s="7"/>
    </row>
    <row x14ac:dyDescent="0.25" r="532" customHeight="1" ht="17.25" hidden="1">
      <c r="A532" s="17" t="s">
        <v>281</v>
      </c>
      <c r="B532" s="17" t="s">
        <v>233</v>
      </c>
      <c r="C532" s="17" t="s">
        <v>271</v>
      </c>
      <c r="D532" s="18" t="s">
        <v>274</v>
      </c>
      <c r="E532" s="17" t="s">
        <v>34</v>
      </c>
      <c r="F532" s="19">
        <v>150</v>
      </c>
      <c r="G532" s="20">
        <v>78</v>
      </c>
      <c r="H532" s="12">
        <f>G532/((F532/100)*(F532/100))</f>
      </c>
      <c r="I532" s="11">
        <f>IF(H532&lt;25,0,IF(H532&lt;30,1,2))</f>
      </c>
      <c r="J532" s="18" t="s">
        <v>236</v>
      </c>
      <c r="K532" s="17" t="s">
        <v>237</v>
      </c>
      <c r="L532" s="17" t="s">
        <v>243</v>
      </c>
      <c r="M532" s="17" t="s">
        <v>54</v>
      </c>
      <c r="N532" s="17" t="s">
        <v>38</v>
      </c>
      <c r="O532" s="17" t="s">
        <v>239</v>
      </c>
      <c r="P532" s="15" t="s">
        <v>132</v>
      </c>
      <c r="Q532" s="10">
        <f>IF(P532="None of the above",0,2)</f>
      </c>
      <c r="R532" s="17" t="s">
        <v>41</v>
      </c>
      <c r="S532" s="17" t="s">
        <v>42</v>
      </c>
      <c r="T532" s="17" t="s">
        <v>96</v>
      </c>
      <c r="U532" s="10">
        <f>IF(T532="Heavy physical",0,IF(T532="Moderate activity",1,2))</f>
      </c>
      <c r="V532" s="18" t="s">
        <v>44</v>
      </c>
      <c r="W532" s="10">
        <f>IF(V532="7–8 hours",0,IF(V532="6–7 hours",1,2))</f>
      </c>
      <c r="X532" s="17" t="s">
        <v>45</v>
      </c>
      <c r="Y532" s="17" t="s">
        <v>244</v>
      </c>
      <c r="Z532" s="17" t="s">
        <v>45</v>
      </c>
      <c r="AA532" s="17" t="s">
        <v>42</v>
      </c>
      <c r="AB532" s="17" t="s">
        <v>42</v>
      </c>
      <c r="AC532" s="17" t="s">
        <v>245</v>
      </c>
      <c r="AD532" s="10">
        <f>I532 + Q532 + U532 + W532</f>
      </c>
      <c r="AE532" s="10">
        <f>IF(AD532&lt;=2,0,IF(AD532&lt;=5,1,2))</f>
      </c>
      <c r="AF532" s="7"/>
    </row>
    <row x14ac:dyDescent="0.25" r="533" customHeight="1" ht="17.25" hidden="1">
      <c r="A533" s="17" t="s">
        <v>251</v>
      </c>
      <c r="B533" s="17" t="s">
        <v>241</v>
      </c>
      <c r="C533" s="17" t="s">
        <v>253</v>
      </c>
      <c r="D533" s="18" t="s">
        <v>242</v>
      </c>
      <c r="E533" s="17" t="s">
        <v>34</v>
      </c>
      <c r="F533" s="19">
        <v>152</v>
      </c>
      <c r="G533" s="20">
        <v>54</v>
      </c>
      <c r="H533" s="12">
        <f>G533/((F533/100)*(F533/100))</f>
      </c>
      <c r="I533" s="11">
        <f>IF(H533&lt;25,0,IF(H533&lt;30,1,2))</f>
      </c>
      <c r="J533" s="18" t="s">
        <v>246</v>
      </c>
      <c r="K533" s="17" t="s">
        <v>237</v>
      </c>
      <c r="L533" s="17" t="s">
        <v>238</v>
      </c>
      <c r="M533" s="17" t="s">
        <v>37</v>
      </c>
      <c r="N533" s="17" t="s">
        <v>38</v>
      </c>
      <c r="O533" s="17" t="s">
        <v>239</v>
      </c>
      <c r="P533" s="15" t="s">
        <v>132</v>
      </c>
      <c r="Q533" s="10">
        <f>IF(P533="None of the above",0,2)</f>
      </c>
      <c r="R533" s="17" t="s">
        <v>56</v>
      </c>
      <c r="S533" s="17" t="s">
        <v>42</v>
      </c>
      <c r="T533" s="17" t="s">
        <v>99</v>
      </c>
      <c r="U533" s="10">
        <f>IF(T533="Heavy physical",0,IF(T533="Moderate activity",1,2))</f>
      </c>
      <c r="V533" s="18" t="s">
        <v>69</v>
      </c>
      <c r="W533" s="10">
        <f>IF(V533="7–8 hours",0,IF(V533="6–7 hours",1,2))</f>
      </c>
      <c r="X533" s="17" t="s">
        <v>45</v>
      </c>
      <c r="Y533" s="17" t="s">
        <v>276</v>
      </c>
      <c r="Z533" s="17" t="s">
        <v>45</v>
      </c>
      <c r="AA533" s="17" t="s">
        <v>42</v>
      </c>
      <c r="AB533" s="17" t="s">
        <v>42</v>
      </c>
      <c r="AC533" s="17" t="s">
        <v>247</v>
      </c>
      <c r="AD533" s="10">
        <f>I533 + Q533 + U533 + W533</f>
      </c>
      <c r="AE533" s="10">
        <f>IF(AD533&lt;=2,0,IF(AD533&lt;=5,1,2))</f>
      </c>
      <c r="AF533" s="7"/>
    </row>
    <row x14ac:dyDescent="0.25" r="534" customHeight="1" ht="17.25" hidden="1">
      <c r="A534" s="17" t="s">
        <v>251</v>
      </c>
      <c r="B534" s="17" t="s">
        <v>233</v>
      </c>
      <c r="C534" s="17" t="s">
        <v>33</v>
      </c>
      <c r="D534" s="18" t="s">
        <v>242</v>
      </c>
      <c r="E534" s="17" t="s">
        <v>51</v>
      </c>
      <c r="F534" s="19">
        <v>180</v>
      </c>
      <c r="G534" s="20">
        <v>63</v>
      </c>
      <c r="H534" s="12">
        <f>G534/((F534/100)*(F534/100))</f>
      </c>
      <c r="I534" s="11">
        <f>IF(H534&lt;25,0,IF(H534&lt;30,1,2))</f>
      </c>
      <c r="J534" s="18" t="s">
        <v>246</v>
      </c>
      <c r="K534" s="17" t="s">
        <v>237</v>
      </c>
      <c r="L534" s="17" t="s">
        <v>250</v>
      </c>
      <c r="M534" s="17" t="s">
        <v>185</v>
      </c>
      <c r="N534" s="17" t="s">
        <v>38</v>
      </c>
      <c r="O534" s="17" t="s">
        <v>239</v>
      </c>
      <c r="P534" s="15" t="s">
        <v>132</v>
      </c>
      <c r="Q534" s="10">
        <f>IF(P534="None of the above",0,2)</f>
      </c>
      <c r="R534" s="17" t="s">
        <v>56</v>
      </c>
      <c r="S534" s="17" t="s">
        <v>42</v>
      </c>
      <c r="T534" s="17" t="s">
        <v>96</v>
      </c>
      <c r="U534" s="10">
        <f>IF(T534="Heavy physical",0,IF(T534="Moderate activity",1,2))</f>
      </c>
      <c r="V534" s="18" t="s">
        <v>69</v>
      </c>
      <c r="W534" s="10">
        <f>IF(V534="7–8 hours",0,IF(V534="6–7 hours",1,2))</f>
      </c>
      <c r="X534" s="17" t="s">
        <v>45</v>
      </c>
      <c r="Y534" s="17" t="s">
        <v>75</v>
      </c>
      <c r="Z534" s="17" t="s">
        <v>47</v>
      </c>
      <c r="AA534" s="17" t="s">
        <v>42</v>
      </c>
      <c r="AB534" s="17" t="s">
        <v>42</v>
      </c>
      <c r="AC534" s="17" t="s">
        <v>245</v>
      </c>
      <c r="AD534" s="10">
        <f>I534 + Q534 + U534 + W534</f>
      </c>
      <c r="AE534" s="10">
        <f>IF(AD534&lt;=2,0,IF(AD534&lt;=5,1,2))</f>
      </c>
      <c r="AF534" s="7"/>
    </row>
    <row x14ac:dyDescent="0.25" r="535" customHeight="1" ht="17.25" hidden="1">
      <c r="A535" s="17" t="s">
        <v>251</v>
      </c>
      <c r="B535" s="17" t="s">
        <v>273</v>
      </c>
      <c r="C535" s="17" t="s">
        <v>33</v>
      </c>
      <c r="D535" s="18" t="s">
        <v>242</v>
      </c>
      <c r="E535" s="17" t="s">
        <v>51</v>
      </c>
      <c r="F535" s="19">
        <v>180</v>
      </c>
      <c r="G535" s="20">
        <v>54</v>
      </c>
      <c r="H535" s="12">
        <f>G535/((F535/100)*(F535/100))</f>
      </c>
      <c r="I535" s="11">
        <f>IF(H535&lt;25,0,IF(H535&lt;30,1,2))</f>
      </c>
      <c r="J535" s="18" t="s">
        <v>246</v>
      </c>
      <c r="K535" s="17" t="s">
        <v>237</v>
      </c>
      <c r="L535" s="17" t="s">
        <v>282</v>
      </c>
      <c r="M535" s="17" t="s">
        <v>37</v>
      </c>
      <c r="N535" s="17" t="s">
        <v>179</v>
      </c>
      <c r="O535" s="17" t="s">
        <v>239</v>
      </c>
      <c r="P535" s="15" t="s">
        <v>132</v>
      </c>
      <c r="Q535" s="10">
        <f>IF(P535="None of the above",0,2)</f>
      </c>
      <c r="R535" s="17" t="s">
        <v>56</v>
      </c>
      <c r="S535" s="17" t="s">
        <v>42</v>
      </c>
      <c r="T535" s="17" t="s">
        <v>96</v>
      </c>
      <c r="U535" s="10">
        <f>IF(T535="Heavy physical",0,IF(T535="Moderate activity",1,2))</f>
      </c>
      <c r="V535" s="18" t="s">
        <v>44</v>
      </c>
      <c r="W535" s="10">
        <f>IF(V535="7–8 hours",0,IF(V535="6–7 hours",1,2))</f>
      </c>
      <c r="X535" s="17" t="s">
        <v>45</v>
      </c>
      <c r="Y535" s="17" t="s">
        <v>75</v>
      </c>
      <c r="Z535" s="17" t="s">
        <v>45</v>
      </c>
      <c r="AA535" s="17" t="s">
        <v>42</v>
      </c>
      <c r="AB535" s="17" t="s">
        <v>42</v>
      </c>
      <c r="AC535" s="17" t="s">
        <v>245</v>
      </c>
      <c r="AD535" s="10">
        <f>I535 + Q535 + U535 + W535</f>
      </c>
      <c r="AE535" s="10">
        <f>IF(AD535&lt;=2,0,IF(AD535&lt;=5,1,2))</f>
      </c>
      <c r="AF535" s="7"/>
    </row>
    <row x14ac:dyDescent="0.25" r="536" customHeight="1" ht="17.25" hidden="1">
      <c r="A536" s="17" t="s">
        <v>130</v>
      </c>
      <c r="B536" s="17" t="s">
        <v>241</v>
      </c>
      <c r="C536" s="17" t="s">
        <v>202</v>
      </c>
      <c r="D536" s="18" t="s">
        <v>242</v>
      </c>
      <c r="E536" s="17" t="s">
        <v>34</v>
      </c>
      <c r="F536" s="19">
        <v>160</v>
      </c>
      <c r="G536" s="20">
        <v>62</v>
      </c>
      <c r="H536" s="12">
        <f>G536/((F536/100)*(F536/100))</f>
      </c>
      <c r="I536" s="11">
        <f>IF(H536&lt;25,0,IF(H536&lt;30,1,2))</f>
      </c>
      <c r="J536" s="18" t="s">
        <v>246</v>
      </c>
      <c r="K536" s="17" t="s">
        <v>237</v>
      </c>
      <c r="L536" s="17" t="s">
        <v>250</v>
      </c>
      <c r="M536" s="17" t="s">
        <v>54</v>
      </c>
      <c r="N536" s="17" t="s">
        <v>179</v>
      </c>
      <c r="O536" s="17" t="s">
        <v>258</v>
      </c>
      <c r="P536" s="15" t="s">
        <v>132</v>
      </c>
      <c r="Q536" s="10">
        <f>IF(P536="None of the above",0,2)</f>
      </c>
      <c r="R536" s="17" t="s">
        <v>56</v>
      </c>
      <c r="S536" s="17" t="s">
        <v>42</v>
      </c>
      <c r="T536" s="17" t="s">
        <v>96</v>
      </c>
      <c r="U536" s="10">
        <f>IF(T536="Heavy physical",0,IF(T536="Moderate activity",1,2))</f>
      </c>
      <c r="V536" s="18" t="s">
        <v>44</v>
      </c>
      <c r="W536" s="10">
        <f>IF(V536="7–8 hours",0,IF(V536="6–7 hours",1,2))</f>
      </c>
      <c r="X536" s="17" t="s">
        <v>45</v>
      </c>
      <c r="Y536" s="17" t="s">
        <v>244</v>
      </c>
      <c r="Z536" s="17" t="s">
        <v>92</v>
      </c>
      <c r="AA536" s="17" t="s">
        <v>42</v>
      </c>
      <c r="AB536" s="17" t="s">
        <v>42</v>
      </c>
      <c r="AC536" s="17" t="s">
        <v>245</v>
      </c>
      <c r="AD536" s="10">
        <f>I536 + Q536 + U536 + W536</f>
      </c>
      <c r="AE536" s="10">
        <f>IF(AD536&lt;=2,0,IF(AD536&lt;=5,1,2))</f>
      </c>
      <c r="AF536" s="7"/>
    </row>
    <row x14ac:dyDescent="0.25" r="537" customHeight="1" ht="17.25" hidden="1">
      <c r="A537" s="17" t="s">
        <v>228</v>
      </c>
      <c r="B537" s="17" t="s">
        <v>273</v>
      </c>
      <c r="C537" s="17" t="s">
        <v>283</v>
      </c>
      <c r="D537" s="18" t="s">
        <v>249</v>
      </c>
      <c r="E537" s="17" t="s">
        <v>51</v>
      </c>
      <c r="F537" s="19">
        <v>158</v>
      </c>
      <c r="G537" s="20">
        <v>38</v>
      </c>
      <c r="H537" s="12">
        <f>G537/((F537/100)*(F537/100))</f>
      </c>
      <c r="I537" s="11">
        <f>IF(H537&lt;25,0,IF(H537&lt;30,1,2))</f>
      </c>
      <c r="J537" s="18" t="s">
        <v>284</v>
      </c>
      <c r="K537" s="17" t="s">
        <v>237</v>
      </c>
      <c r="L537" s="17" t="s">
        <v>285</v>
      </c>
      <c r="M537" s="17" t="s">
        <v>54</v>
      </c>
      <c r="N537" s="17" t="s">
        <v>38</v>
      </c>
      <c r="O537" s="17" t="s">
        <v>257</v>
      </c>
      <c r="P537" s="15" t="s">
        <v>132</v>
      </c>
      <c r="Q537" s="10">
        <f>IF(P537="None of the above",0,2)</f>
      </c>
      <c r="R537" s="17" t="s">
        <v>41</v>
      </c>
      <c r="S537" s="17" t="s">
        <v>42</v>
      </c>
      <c r="T537" s="17" t="s">
        <v>99</v>
      </c>
      <c r="U537" s="10">
        <f>IF(T537="Heavy physical",0,IF(T537="Moderate activity",1,2))</f>
      </c>
      <c r="V537" s="18" t="s">
        <v>57</v>
      </c>
      <c r="W537" s="10">
        <f>IF(V537="7–8 hours",0,IF(V537="6–7 hours",1,2))</f>
      </c>
      <c r="X537" s="17" t="s">
        <v>102</v>
      </c>
      <c r="Y537" s="17" t="s">
        <v>64</v>
      </c>
      <c r="Z537" s="17" t="s">
        <v>45</v>
      </c>
      <c r="AA537" s="17" t="s">
        <v>48</v>
      </c>
      <c r="AB537" s="17" t="s">
        <v>48</v>
      </c>
      <c r="AC537" s="17" t="s">
        <v>247</v>
      </c>
      <c r="AD537" s="10">
        <f>I537 + Q537 + U537 + W537</f>
      </c>
      <c r="AE537" s="10">
        <f>IF(AD537&lt;=2,0,IF(AD537&lt;=5,1,2))</f>
      </c>
      <c r="AF537" s="7"/>
    </row>
    <row x14ac:dyDescent="0.25" r="538" customHeight="1" ht="17.25" hidden="1">
      <c r="A538" s="17" t="s">
        <v>251</v>
      </c>
      <c r="B538" s="17" t="s">
        <v>241</v>
      </c>
      <c r="C538" s="17" t="s">
        <v>50</v>
      </c>
      <c r="D538" s="18" t="s">
        <v>242</v>
      </c>
      <c r="E538" s="17" t="s">
        <v>34</v>
      </c>
      <c r="F538" s="19">
        <v>157</v>
      </c>
      <c r="G538" s="20">
        <v>66</v>
      </c>
      <c r="H538" s="12">
        <f>G538/((F538/100)*(F538/100))</f>
      </c>
      <c r="I538" s="11">
        <f>IF(H538&lt;25,0,IF(H538&lt;30,1,2))</f>
      </c>
      <c r="J538" s="18" t="s">
        <v>236</v>
      </c>
      <c r="K538" s="17" t="s">
        <v>237</v>
      </c>
      <c r="L538" s="17" t="s">
        <v>243</v>
      </c>
      <c r="M538" s="17" t="s">
        <v>185</v>
      </c>
      <c r="N538" s="17" t="s">
        <v>38</v>
      </c>
      <c r="O538" s="17" t="s">
        <v>239</v>
      </c>
      <c r="P538" s="15" t="s">
        <v>132</v>
      </c>
      <c r="Q538" s="10">
        <f>IF(P538="None of the above",0,2)</f>
      </c>
      <c r="R538" s="17" t="s">
        <v>56</v>
      </c>
      <c r="S538" s="17" t="s">
        <v>42</v>
      </c>
      <c r="T538" s="17" t="s">
        <v>99</v>
      </c>
      <c r="U538" s="10">
        <f>IF(T538="Heavy physical",0,IF(T538="Moderate activity",1,2))</f>
      </c>
      <c r="V538" s="18" t="s">
        <v>69</v>
      </c>
      <c r="W538" s="10">
        <f>IF(V538="7–8 hours",0,IF(V538="6–7 hours",1,2))</f>
      </c>
      <c r="X538" s="17" t="s">
        <v>45</v>
      </c>
      <c r="Y538" s="17" t="s">
        <v>286</v>
      </c>
      <c r="Z538" s="17" t="s">
        <v>45</v>
      </c>
      <c r="AA538" s="17" t="s">
        <v>42</v>
      </c>
      <c r="AB538" s="17" t="s">
        <v>42</v>
      </c>
      <c r="AC538" s="17" t="s">
        <v>247</v>
      </c>
      <c r="AD538" s="10">
        <f>I538 + Q538 + U538 + W538</f>
      </c>
      <c r="AE538" s="10">
        <f>IF(AD538&lt;=2,0,IF(AD538&lt;=5,1,2))</f>
      </c>
      <c r="AF538" s="7"/>
    </row>
    <row x14ac:dyDescent="0.25" r="539" customHeight="1" ht="17.25" hidden="1">
      <c r="A539" s="17" t="s">
        <v>251</v>
      </c>
      <c r="B539" s="17" t="s">
        <v>233</v>
      </c>
      <c r="C539" s="17" t="s">
        <v>33</v>
      </c>
      <c r="D539" s="18" t="s">
        <v>242</v>
      </c>
      <c r="E539" s="17" t="s">
        <v>34</v>
      </c>
      <c r="F539" s="19">
        <v>160</v>
      </c>
      <c r="G539" s="20">
        <v>40</v>
      </c>
      <c r="H539" s="12">
        <f>G539/((F539/100)*(F539/100))</f>
      </c>
      <c r="I539" s="11">
        <f>IF(H539&lt;25,0,IF(H539&lt;30,1,2))</f>
      </c>
      <c r="J539" s="18" t="s">
        <v>246</v>
      </c>
      <c r="K539" s="17" t="s">
        <v>237</v>
      </c>
      <c r="L539" s="17" t="s">
        <v>36</v>
      </c>
      <c r="M539" s="17" t="s">
        <v>54</v>
      </c>
      <c r="N539" s="17" t="s">
        <v>38</v>
      </c>
      <c r="O539" s="17" t="s">
        <v>239</v>
      </c>
      <c r="P539" s="15" t="s">
        <v>132</v>
      </c>
      <c r="Q539" s="10">
        <f>IF(P539="None of the above",0,2)</f>
      </c>
      <c r="R539" s="17" t="s">
        <v>56</v>
      </c>
      <c r="S539" s="17" t="s">
        <v>42</v>
      </c>
      <c r="T539" s="17" t="s">
        <v>43</v>
      </c>
      <c r="U539" s="10">
        <f>IF(T539="Heavy physical",0,IF(T539="Moderate activity",1,2))</f>
      </c>
      <c r="V539" s="18" t="s">
        <v>69</v>
      </c>
      <c r="W539" s="10">
        <f>IF(V539="7–8 hours",0,IF(V539="6–7 hours",1,2))</f>
      </c>
      <c r="X539" s="17" t="s">
        <v>45</v>
      </c>
      <c r="Y539" s="17" t="s">
        <v>75</v>
      </c>
      <c r="Z539" s="17" t="s">
        <v>45</v>
      </c>
      <c r="AA539" s="17" t="s">
        <v>42</v>
      </c>
      <c r="AB539" s="17" t="s">
        <v>42</v>
      </c>
      <c r="AC539" s="17" t="s">
        <v>247</v>
      </c>
      <c r="AD539" s="10">
        <f>I539 + Q539 + U539 + W539</f>
      </c>
      <c r="AE539" s="10">
        <f>IF(AD539&lt;=2,0,IF(AD539&lt;=5,1,2))</f>
      </c>
      <c r="AF539" s="7"/>
    </row>
    <row x14ac:dyDescent="0.25" r="540" customHeight="1" ht="17.25" hidden="1">
      <c r="A540" s="17" t="s">
        <v>251</v>
      </c>
      <c r="B540" s="17" t="s">
        <v>252</v>
      </c>
      <c r="C540" s="17" t="s">
        <v>33</v>
      </c>
      <c r="D540" s="18" t="s">
        <v>242</v>
      </c>
      <c r="E540" s="17" t="s">
        <v>34</v>
      </c>
      <c r="F540" s="19">
        <v>156</v>
      </c>
      <c r="G540" s="20">
        <v>45</v>
      </c>
      <c r="H540" s="12">
        <f>G540/((F540/100)*(F540/100))</f>
      </c>
      <c r="I540" s="11">
        <f>IF(H540&lt;25,0,IF(H540&lt;30,1,2))</f>
      </c>
      <c r="J540" s="18" t="s">
        <v>246</v>
      </c>
      <c r="K540" s="17" t="s">
        <v>237</v>
      </c>
      <c r="L540" s="17" t="s">
        <v>238</v>
      </c>
      <c r="M540" s="17" t="s">
        <v>185</v>
      </c>
      <c r="N540" s="17" t="s">
        <v>201</v>
      </c>
      <c r="O540" s="17" t="s">
        <v>239</v>
      </c>
      <c r="P540" s="15" t="s">
        <v>132</v>
      </c>
      <c r="Q540" s="10">
        <f>IF(P540="None of the above",0,2)</f>
      </c>
      <c r="R540" s="17" t="s">
        <v>56</v>
      </c>
      <c r="S540" s="17" t="s">
        <v>42</v>
      </c>
      <c r="T540" s="17" t="s">
        <v>43</v>
      </c>
      <c r="U540" s="10">
        <f>IF(T540="Heavy physical",0,IF(T540="Moderate activity",1,2))</f>
      </c>
      <c r="V540" s="18" t="s">
        <v>69</v>
      </c>
      <c r="W540" s="10">
        <f>IF(V540="7–8 hours",0,IF(V540="6–7 hours",1,2))</f>
      </c>
      <c r="X540" s="17" t="s">
        <v>45</v>
      </c>
      <c r="Y540" s="17" t="s">
        <v>46</v>
      </c>
      <c r="Z540" s="17" t="s">
        <v>287</v>
      </c>
      <c r="AA540" s="17" t="s">
        <v>42</v>
      </c>
      <c r="AB540" s="17" t="s">
        <v>42</v>
      </c>
      <c r="AC540" s="17" t="s">
        <v>247</v>
      </c>
      <c r="AD540" s="10">
        <f>I540 + Q540 + U540 + W540</f>
      </c>
      <c r="AE540" s="10">
        <f>IF(AD540&lt;=2,0,IF(AD540&lt;=5,1,2))</f>
      </c>
      <c r="AF540" s="7"/>
    </row>
    <row x14ac:dyDescent="0.25" r="541" customHeight="1" ht="17.25" hidden="1">
      <c r="A541" s="17" t="s">
        <v>251</v>
      </c>
      <c r="B541" s="17" t="s">
        <v>248</v>
      </c>
      <c r="C541" s="17" t="s">
        <v>33</v>
      </c>
      <c r="D541" s="18" t="s">
        <v>249</v>
      </c>
      <c r="E541" s="17" t="s">
        <v>51</v>
      </c>
      <c r="F541" s="19">
        <v>171</v>
      </c>
      <c r="G541" s="20">
        <v>50</v>
      </c>
      <c r="H541" s="12">
        <f>G541/((F541/100)*(F541/100))</f>
      </c>
      <c r="I541" s="11">
        <f>IF(H541&lt;25,0,IF(H541&lt;30,1,2))</f>
      </c>
      <c r="J541" s="18" t="s">
        <v>246</v>
      </c>
      <c r="K541" s="17" t="s">
        <v>237</v>
      </c>
      <c r="L541" s="17" t="s">
        <v>262</v>
      </c>
      <c r="M541" s="17" t="s">
        <v>185</v>
      </c>
      <c r="N541" s="17" t="s">
        <v>201</v>
      </c>
      <c r="O541" s="17" t="s">
        <v>239</v>
      </c>
      <c r="P541" s="15" t="s">
        <v>132</v>
      </c>
      <c r="Q541" s="10">
        <f>IF(P541="None of the above",0,2)</f>
      </c>
      <c r="R541" s="17" t="s">
        <v>56</v>
      </c>
      <c r="S541" s="17" t="s">
        <v>42</v>
      </c>
      <c r="T541" s="17" t="s">
        <v>99</v>
      </c>
      <c r="U541" s="10">
        <f>IF(T541="Heavy physical",0,IF(T541="Moderate activity",1,2))</f>
      </c>
      <c r="V541" s="18" t="s">
        <v>69</v>
      </c>
      <c r="W541" s="10">
        <f>IF(V541="7–8 hours",0,IF(V541="6–7 hours",1,2))</f>
      </c>
      <c r="X541" s="17" t="s">
        <v>45</v>
      </c>
      <c r="Y541" s="17" t="s">
        <v>64</v>
      </c>
      <c r="Z541" s="17" t="s">
        <v>45</v>
      </c>
      <c r="AA541" s="17" t="s">
        <v>42</v>
      </c>
      <c r="AB541" s="17" t="s">
        <v>42</v>
      </c>
      <c r="AC541" s="17" t="s">
        <v>245</v>
      </c>
      <c r="AD541" s="10">
        <f>I541 + Q541 + U541 + W541</f>
      </c>
      <c r="AE541" s="10">
        <f>IF(AD541&lt;=2,0,IF(AD541&lt;=5,1,2))</f>
      </c>
      <c r="AF541" s="7"/>
    </row>
    <row x14ac:dyDescent="0.25" r="542" customHeight="1" ht="17.25" hidden="1">
      <c r="A542" s="17" t="s">
        <v>251</v>
      </c>
      <c r="B542" s="17" t="s">
        <v>252</v>
      </c>
      <c r="C542" s="17" t="s">
        <v>33</v>
      </c>
      <c r="D542" s="18" t="s">
        <v>242</v>
      </c>
      <c r="E542" s="17" t="s">
        <v>34</v>
      </c>
      <c r="F542" s="19">
        <v>160</v>
      </c>
      <c r="G542" s="20">
        <v>44</v>
      </c>
      <c r="H542" s="12">
        <f>G542/((F542/100)*(F542/100))</f>
      </c>
      <c r="I542" s="11">
        <f>IF(H542&lt;25,0,IF(H542&lt;30,1,2))</f>
      </c>
      <c r="J542" s="18" t="s">
        <v>246</v>
      </c>
      <c r="K542" s="17" t="s">
        <v>237</v>
      </c>
      <c r="L542" s="17" t="s">
        <v>267</v>
      </c>
      <c r="M542" s="17" t="s">
        <v>185</v>
      </c>
      <c r="N542" s="17" t="s">
        <v>179</v>
      </c>
      <c r="O542" s="17" t="s">
        <v>239</v>
      </c>
      <c r="P542" s="15" t="s">
        <v>132</v>
      </c>
      <c r="Q542" s="10">
        <f>IF(P542="None of the above",0,2)</f>
      </c>
      <c r="R542" s="17" t="s">
        <v>56</v>
      </c>
      <c r="S542" s="17" t="s">
        <v>42</v>
      </c>
      <c r="T542" s="17" t="s">
        <v>43</v>
      </c>
      <c r="U542" s="10">
        <f>IF(T542="Heavy physical",0,IF(T542="Moderate activity",1,2))</f>
      </c>
      <c r="V542" s="18" t="s">
        <v>69</v>
      </c>
      <c r="W542" s="10">
        <f>IF(V542="7–8 hours",0,IF(V542="6–7 hours",1,2))</f>
      </c>
      <c r="X542" s="17" t="s">
        <v>45</v>
      </c>
      <c r="Y542" s="17" t="s">
        <v>46</v>
      </c>
      <c r="Z542" s="17" t="s">
        <v>45</v>
      </c>
      <c r="AA542" s="17" t="s">
        <v>42</v>
      </c>
      <c r="AB542" s="17" t="s">
        <v>42</v>
      </c>
      <c r="AC542" s="17" t="s">
        <v>240</v>
      </c>
      <c r="AD542" s="10">
        <f>I542 + Q542 + U542 + W542</f>
      </c>
      <c r="AE542" s="10">
        <f>IF(AD542&lt;=2,0,IF(AD542&lt;=5,1,2))</f>
      </c>
      <c r="AF542" s="7"/>
    </row>
    <row x14ac:dyDescent="0.25" r="543" customHeight="1" ht="17.25" hidden="1">
      <c r="A543" s="17" t="s">
        <v>251</v>
      </c>
      <c r="B543" s="17" t="s">
        <v>273</v>
      </c>
      <c r="C543" s="17" t="s">
        <v>33</v>
      </c>
      <c r="D543" s="18" t="s">
        <v>242</v>
      </c>
      <c r="E543" s="17" t="s">
        <v>51</v>
      </c>
      <c r="F543" s="19">
        <v>172</v>
      </c>
      <c r="G543" s="20">
        <v>55</v>
      </c>
      <c r="H543" s="12">
        <f>G543/((F543/100)*(F543/100))</f>
      </c>
      <c r="I543" s="11">
        <f>IF(H543&lt;25,0,IF(H543&lt;30,1,2))</f>
      </c>
      <c r="J543" s="18" t="s">
        <v>246</v>
      </c>
      <c r="K543" s="17" t="s">
        <v>237</v>
      </c>
      <c r="L543" s="17" t="s">
        <v>288</v>
      </c>
      <c r="M543" s="17" t="s">
        <v>37</v>
      </c>
      <c r="N543" s="17" t="s">
        <v>38</v>
      </c>
      <c r="O543" s="17" t="s">
        <v>239</v>
      </c>
      <c r="P543" s="15" t="s">
        <v>132</v>
      </c>
      <c r="Q543" s="10">
        <f>IF(P543="None of the above",0,2)</f>
      </c>
      <c r="R543" s="17" t="s">
        <v>41</v>
      </c>
      <c r="S543" s="17" t="s">
        <v>42</v>
      </c>
      <c r="T543" s="17" t="s">
        <v>99</v>
      </c>
      <c r="U543" s="10">
        <f>IF(T543="Heavy physical",0,IF(T543="Moderate activity",1,2))</f>
      </c>
      <c r="V543" s="18" t="s">
        <v>44</v>
      </c>
      <c r="W543" s="10">
        <f>IF(V543="7–8 hours",0,IF(V543="6–7 hours",1,2))</f>
      </c>
      <c r="X543" s="17" t="s">
        <v>45</v>
      </c>
      <c r="Y543" s="17" t="s">
        <v>75</v>
      </c>
      <c r="Z543" s="17" t="s">
        <v>45</v>
      </c>
      <c r="AA543" s="17" t="s">
        <v>42</v>
      </c>
      <c r="AB543" s="17" t="s">
        <v>42</v>
      </c>
      <c r="AC543" s="17" t="s">
        <v>245</v>
      </c>
      <c r="AD543" s="10">
        <f>I543 + Q543 + U543 + W543</f>
      </c>
      <c r="AE543" s="10">
        <f>IF(AD543&lt;=2,0,IF(AD543&lt;=5,1,2))</f>
      </c>
      <c r="AF543" s="7"/>
    </row>
    <row x14ac:dyDescent="0.25" r="544" customHeight="1" ht="17.25" hidden="1">
      <c r="A544" s="17" t="s">
        <v>251</v>
      </c>
      <c r="B544" s="17" t="s">
        <v>241</v>
      </c>
      <c r="C544" s="17" t="s">
        <v>33</v>
      </c>
      <c r="D544" s="18" t="s">
        <v>242</v>
      </c>
      <c r="E544" s="17" t="s">
        <v>51</v>
      </c>
      <c r="F544" s="19">
        <v>172</v>
      </c>
      <c r="G544" s="20">
        <v>82</v>
      </c>
      <c r="H544" s="12">
        <f>G544/((F544/100)*(F544/100))</f>
      </c>
      <c r="I544" s="11">
        <f>IF(H544&lt;25,0,IF(H544&lt;30,1,2))</f>
      </c>
      <c r="J544" s="18" t="s">
        <v>246</v>
      </c>
      <c r="K544" s="17" t="s">
        <v>237</v>
      </c>
      <c r="L544" s="17" t="s">
        <v>270</v>
      </c>
      <c r="M544" s="17" t="s">
        <v>37</v>
      </c>
      <c r="N544" s="17" t="s">
        <v>38</v>
      </c>
      <c r="O544" s="17" t="s">
        <v>239</v>
      </c>
      <c r="P544" s="15" t="s">
        <v>132</v>
      </c>
      <c r="Q544" s="10">
        <f>IF(P544="None of the above",0,2)</f>
      </c>
      <c r="R544" s="17" t="s">
        <v>56</v>
      </c>
      <c r="S544" s="17" t="s">
        <v>42</v>
      </c>
      <c r="T544" s="17" t="s">
        <v>96</v>
      </c>
      <c r="U544" s="10">
        <f>IF(T544="Heavy physical",0,IF(T544="Moderate activity",1,2))</f>
      </c>
      <c r="V544" s="18" t="s">
        <v>44</v>
      </c>
      <c r="W544" s="10">
        <f>IF(V544="7–8 hours",0,IF(V544="6–7 hours",1,2))</f>
      </c>
      <c r="X544" s="17" t="s">
        <v>45</v>
      </c>
      <c r="Y544" s="17" t="s">
        <v>64</v>
      </c>
      <c r="Z544" s="17" t="s">
        <v>45</v>
      </c>
      <c r="AA544" s="17" t="s">
        <v>42</v>
      </c>
      <c r="AB544" s="17" t="s">
        <v>42</v>
      </c>
      <c r="AC544" s="17" t="s">
        <v>245</v>
      </c>
      <c r="AD544" s="10">
        <f>I544 + Q544 + U544 + W544</f>
      </c>
      <c r="AE544" s="10">
        <f>IF(AD544&lt;=2,0,IF(AD544&lt;=5,1,2))</f>
      </c>
      <c r="AF544" s="7"/>
    </row>
    <row x14ac:dyDescent="0.25" r="545" customHeight="1" ht="17.25" hidden="1">
      <c r="A545" s="17" t="s">
        <v>268</v>
      </c>
      <c r="B545" s="17" t="s">
        <v>233</v>
      </c>
      <c r="C545" s="17" t="s">
        <v>271</v>
      </c>
      <c r="D545" s="18" t="s">
        <v>242</v>
      </c>
      <c r="E545" s="17" t="s">
        <v>34</v>
      </c>
      <c r="F545" s="19">
        <v>156</v>
      </c>
      <c r="G545" s="20">
        <v>66</v>
      </c>
      <c r="H545" s="12">
        <f>G545/((F545/100)*(F545/100))</f>
      </c>
      <c r="I545" s="11">
        <f>IF(H545&lt;25,0,IF(H545&lt;30,1,2))</f>
      </c>
      <c r="J545" s="18" t="s">
        <v>246</v>
      </c>
      <c r="K545" s="17" t="s">
        <v>237</v>
      </c>
      <c r="L545" s="17" t="s">
        <v>243</v>
      </c>
      <c r="M545" s="17" t="s">
        <v>37</v>
      </c>
      <c r="N545" s="17" t="s">
        <v>201</v>
      </c>
      <c r="O545" s="17" t="s">
        <v>258</v>
      </c>
      <c r="P545" s="15" t="s">
        <v>132</v>
      </c>
      <c r="Q545" s="10">
        <f>IF(P545="None of the above",0,2)</f>
      </c>
      <c r="R545" s="17" t="s">
        <v>56</v>
      </c>
      <c r="S545" s="17" t="s">
        <v>42</v>
      </c>
      <c r="T545" s="17" t="s">
        <v>99</v>
      </c>
      <c r="U545" s="10">
        <f>IF(T545="Heavy physical",0,IF(T545="Moderate activity",1,2))</f>
      </c>
      <c r="V545" s="18" t="s">
        <v>69</v>
      </c>
      <c r="W545" s="10">
        <f>IF(V545="7–8 hours",0,IF(V545="6–7 hours",1,2))</f>
      </c>
      <c r="X545" s="17" t="s">
        <v>45</v>
      </c>
      <c r="Y545" s="17" t="s">
        <v>46</v>
      </c>
      <c r="Z545" s="17" t="s">
        <v>65</v>
      </c>
      <c r="AA545" s="17" t="s">
        <v>42</v>
      </c>
      <c r="AB545" s="17" t="s">
        <v>42</v>
      </c>
      <c r="AC545" s="17" t="s">
        <v>247</v>
      </c>
      <c r="AD545" s="10">
        <f>I545 + Q545 + U545 + W545</f>
      </c>
      <c r="AE545" s="10">
        <f>IF(AD545&lt;=2,0,IF(AD545&lt;=5,1,2))</f>
      </c>
      <c r="AF545" s="7"/>
    </row>
    <row x14ac:dyDescent="0.25" r="546" customHeight="1" ht="17.25" hidden="1">
      <c r="A546" s="17" t="s">
        <v>251</v>
      </c>
      <c r="B546" s="17" t="s">
        <v>252</v>
      </c>
      <c r="C546" s="17" t="s">
        <v>289</v>
      </c>
      <c r="D546" s="18" t="s">
        <v>242</v>
      </c>
      <c r="E546" s="17" t="s">
        <v>51</v>
      </c>
      <c r="F546" s="19">
        <v>160</v>
      </c>
      <c r="G546" s="20">
        <v>50</v>
      </c>
      <c r="H546" s="12">
        <f>G546/((F546/100)*(F546/100))</f>
      </c>
      <c r="I546" s="11">
        <f>IF(H546&lt;25,0,IF(H546&lt;30,1,2))</f>
      </c>
      <c r="J546" s="18" t="s">
        <v>246</v>
      </c>
      <c r="K546" s="17" t="s">
        <v>237</v>
      </c>
      <c r="L546" s="17" t="s">
        <v>262</v>
      </c>
      <c r="M546" s="17" t="s">
        <v>37</v>
      </c>
      <c r="N546" s="17" t="s">
        <v>179</v>
      </c>
      <c r="O546" s="17" t="s">
        <v>239</v>
      </c>
      <c r="P546" s="15" t="s">
        <v>132</v>
      </c>
      <c r="Q546" s="10">
        <f>IF(P546="None of the above",0,2)</f>
      </c>
      <c r="R546" s="17" t="s">
        <v>56</v>
      </c>
      <c r="S546" s="17" t="s">
        <v>42</v>
      </c>
      <c r="T546" s="17" t="s">
        <v>43</v>
      </c>
      <c r="U546" s="10">
        <f>IF(T546="Heavy physical",0,IF(T546="Moderate activity",1,2))</f>
      </c>
      <c r="V546" s="18" t="s">
        <v>44</v>
      </c>
      <c r="W546" s="10">
        <f>IF(V546="7–8 hours",0,IF(V546="6–7 hours",1,2))</f>
      </c>
      <c r="X546" s="17" t="s">
        <v>45</v>
      </c>
      <c r="Y546" s="17" t="s">
        <v>46</v>
      </c>
      <c r="Z546" s="17" t="s">
        <v>45</v>
      </c>
      <c r="AA546" s="17" t="s">
        <v>42</v>
      </c>
      <c r="AB546" s="17" t="s">
        <v>42</v>
      </c>
      <c r="AC546" s="17" t="s">
        <v>245</v>
      </c>
      <c r="AD546" s="10">
        <f>I546 + Q546 + U546 + W546</f>
      </c>
      <c r="AE546" s="10">
        <f>IF(AD546&lt;=2,0,IF(AD546&lt;=5,1,2))</f>
      </c>
      <c r="AF546" s="7"/>
    </row>
    <row x14ac:dyDescent="0.25" r="547" customHeight="1" ht="17.25" hidden="1">
      <c r="A547" s="17" t="s">
        <v>251</v>
      </c>
      <c r="B547" s="17" t="s">
        <v>233</v>
      </c>
      <c r="C547" s="17" t="s">
        <v>33</v>
      </c>
      <c r="D547" s="18" t="s">
        <v>242</v>
      </c>
      <c r="E547" s="17" t="s">
        <v>34</v>
      </c>
      <c r="F547" s="19">
        <v>163</v>
      </c>
      <c r="G547" s="20">
        <v>52</v>
      </c>
      <c r="H547" s="12">
        <f>G547/((F547/100)*(F547/100))</f>
      </c>
      <c r="I547" s="11">
        <f>IF(H547&lt;25,0,IF(H547&lt;30,1,2))</f>
      </c>
      <c r="J547" s="18" t="s">
        <v>246</v>
      </c>
      <c r="K547" s="17" t="s">
        <v>237</v>
      </c>
      <c r="L547" s="17" t="s">
        <v>290</v>
      </c>
      <c r="M547" s="17" t="s">
        <v>185</v>
      </c>
      <c r="N547" s="17" t="s">
        <v>38</v>
      </c>
      <c r="O547" s="17" t="s">
        <v>239</v>
      </c>
      <c r="P547" s="15" t="s">
        <v>132</v>
      </c>
      <c r="Q547" s="10">
        <f>IF(P547="None of the above",0,2)</f>
      </c>
      <c r="R547" s="17" t="s">
        <v>56</v>
      </c>
      <c r="S547" s="17" t="s">
        <v>42</v>
      </c>
      <c r="T547" s="17" t="s">
        <v>99</v>
      </c>
      <c r="U547" s="10">
        <f>IF(T547="Heavy physical",0,IF(T547="Moderate activity",1,2))</f>
      </c>
      <c r="V547" s="18" t="s">
        <v>57</v>
      </c>
      <c r="W547" s="10">
        <f>IF(V547="7–8 hours",0,IF(V547="6–7 hours",1,2))</f>
      </c>
      <c r="X547" s="17" t="s">
        <v>45</v>
      </c>
      <c r="Y547" s="17" t="s">
        <v>244</v>
      </c>
      <c r="Z547" s="17" t="s">
        <v>45</v>
      </c>
      <c r="AA547" s="17" t="s">
        <v>42</v>
      </c>
      <c r="AB547" s="17" t="s">
        <v>42</v>
      </c>
      <c r="AC547" s="17" t="s">
        <v>247</v>
      </c>
      <c r="AD547" s="10">
        <f>I547 + Q547 + U547 + W547</f>
      </c>
      <c r="AE547" s="10">
        <f>IF(AD547&lt;=2,0,IF(AD547&lt;=5,1,2))</f>
      </c>
      <c r="AF547" s="7"/>
    </row>
    <row x14ac:dyDescent="0.25" r="548" customHeight="1" ht="17.25" hidden="1">
      <c r="A548" s="17" t="s">
        <v>251</v>
      </c>
      <c r="B548" s="17" t="s">
        <v>252</v>
      </c>
      <c r="C548" s="17" t="s">
        <v>234</v>
      </c>
      <c r="D548" s="18" t="s">
        <v>242</v>
      </c>
      <c r="E548" s="17" t="s">
        <v>34</v>
      </c>
      <c r="F548" s="19">
        <v>160</v>
      </c>
      <c r="G548" s="20">
        <v>48</v>
      </c>
      <c r="H548" s="12">
        <f>G548/((F548/100)*(F548/100))</f>
      </c>
      <c r="I548" s="11">
        <f>IF(H548&lt;25,0,IF(H548&lt;30,1,2))</f>
      </c>
      <c r="J548" s="18" t="s">
        <v>246</v>
      </c>
      <c r="K548" s="17" t="s">
        <v>237</v>
      </c>
      <c r="L548" s="17" t="s">
        <v>291</v>
      </c>
      <c r="M548" s="17" t="s">
        <v>37</v>
      </c>
      <c r="N548" s="17" t="s">
        <v>201</v>
      </c>
      <c r="O548" s="17" t="s">
        <v>239</v>
      </c>
      <c r="P548" s="15" t="s">
        <v>132</v>
      </c>
      <c r="Q548" s="10">
        <f>IF(P548="None of the above",0,2)</f>
      </c>
      <c r="R548" s="17" t="s">
        <v>56</v>
      </c>
      <c r="S548" s="17" t="s">
        <v>48</v>
      </c>
      <c r="T548" s="17" t="s">
        <v>292</v>
      </c>
      <c r="U548" s="10">
        <f>IF(T548="Heavy physical",0,IF(T548="Moderate activity",1,2))</f>
      </c>
      <c r="V548" s="18" t="s">
        <v>57</v>
      </c>
      <c r="W548" s="10">
        <f>IF(V548="7–8 hours",0,IF(V548="6–7 hours",1,2))</f>
      </c>
      <c r="X548" s="17" t="s">
        <v>45</v>
      </c>
      <c r="Y548" s="17" t="s">
        <v>244</v>
      </c>
      <c r="Z548" s="17" t="s">
        <v>45</v>
      </c>
      <c r="AA548" s="17" t="s">
        <v>42</v>
      </c>
      <c r="AB548" s="17" t="s">
        <v>42</v>
      </c>
      <c r="AC548" s="17" t="s">
        <v>247</v>
      </c>
      <c r="AD548" s="10">
        <f>I548 + Q548 + U548 + W548</f>
      </c>
      <c r="AE548" s="10">
        <f>IF(AD548&lt;=2,0,IF(AD548&lt;=5,1,2))</f>
      </c>
      <c r="AF548" s="7"/>
    </row>
    <row x14ac:dyDescent="0.25" r="549" customHeight="1" ht="17.25" hidden="1">
      <c r="A549" s="17" t="s">
        <v>251</v>
      </c>
      <c r="B549" s="17" t="s">
        <v>248</v>
      </c>
      <c r="C549" s="17" t="s">
        <v>33</v>
      </c>
      <c r="D549" s="18" t="s">
        <v>242</v>
      </c>
      <c r="E549" s="17" t="s">
        <v>34</v>
      </c>
      <c r="F549" s="19">
        <v>155</v>
      </c>
      <c r="G549" s="20">
        <v>44</v>
      </c>
      <c r="H549" s="12">
        <f>G549/((F549/100)*(F549/100))</f>
      </c>
      <c r="I549" s="11">
        <f>IF(H549&lt;25,0,IF(H549&lt;30,1,2))</f>
      </c>
      <c r="J549" s="18" t="s">
        <v>246</v>
      </c>
      <c r="K549" s="17" t="s">
        <v>237</v>
      </c>
      <c r="L549" s="17" t="s">
        <v>250</v>
      </c>
      <c r="M549" s="17" t="s">
        <v>37</v>
      </c>
      <c r="N549" s="17" t="s">
        <v>38</v>
      </c>
      <c r="O549" s="17" t="s">
        <v>239</v>
      </c>
      <c r="P549" s="15" t="s">
        <v>132</v>
      </c>
      <c r="Q549" s="10">
        <f>IF(P549="None of the above",0,2)</f>
      </c>
      <c r="R549" s="17" t="s">
        <v>56</v>
      </c>
      <c r="S549" s="17" t="s">
        <v>42</v>
      </c>
      <c r="T549" s="17" t="s">
        <v>99</v>
      </c>
      <c r="U549" s="10">
        <f>IF(T549="Heavy physical",0,IF(T549="Moderate activity",1,2))</f>
      </c>
      <c r="V549" s="18" t="s">
        <v>69</v>
      </c>
      <c r="W549" s="10">
        <f>IF(V549="7–8 hours",0,IF(V549="6–7 hours",1,2))</f>
      </c>
      <c r="X549" s="17" t="s">
        <v>45</v>
      </c>
      <c r="Y549" s="17" t="s">
        <v>64</v>
      </c>
      <c r="Z549" s="17" t="s">
        <v>45</v>
      </c>
      <c r="AA549" s="17" t="s">
        <v>42</v>
      </c>
      <c r="AB549" s="17" t="s">
        <v>42</v>
      </c>
      <c r="AC549" s="17" t="s">
        <v>240</v>
      </c>
      <c r="AD549" s="10">
        <f>I549 + Q549 + U549 + W549</f>
      </c>
      <c r="AE549" s="10">
        <f>IF(AD549&lt;=2,0,IF(AD549&lt;=5,1,2))</f>
      </c>
      <c r="AF549" s="7"/>
    </row>
    <row x14ac:dyDescent="0.25" r="550" customHeight="1" ht="17.25" hidden="1">
      <c r="A550" s="17" t="s">
        <v>251</v>
      </c>
      <c r="B550" s="17" t="s">
        <v>252</v>
      </c>
      <c r="C550" s="17" t="s">
        <v>234</v>
      </c>
      <c r="D550" s="18" t="s">
        <v>242</v>
      </c>
      <c r="E550" s="17" t="s">
        <v>51</v>
      </c>
      <c r="F550" s="19">
        <v>178</v>
      </c>
      <c r="G550" s="20">
        <v>71</v>
      </c>
      <c r="H550" s="12">
        <f>G550/((F550/100)*(F550/100))</f>
      </c>
      <c r="I550" s="11">
        <f>IF(H550&lt;25,0,IF(H550&lt;30,1,2))</f>
      </c>
      <c r="J550" s="18" t="s">
        <v>246</v>
      </c>
      <c r="K550" s="17" t="s">
        <v>237</v>
      </c>
      <c r="L550" s="17" t="s">
        <v>262</v>
      </c>
      <c r="M550" s="17" t="s">
        <v>37</v>
      </c>
      <c r="N550" s="17" t="s">
        <v>179</v>
      </c>
      <c r="O550" s="17" t="s">
        <v>239</v>
      </c>
      <c r="P550" s="15" t="s">
        <v>132</v>
      </c>
      <c r="Q550" s="10">
        <f>IF(P550="None of the above",0,2)</f>
      </c>
      <c r="R550" s="17" t="s">
        <v>56</v>
      </c>
      <c r="S550" s="17" t="s">
        <v>48</v>
      </c>
      <c r="T550" s="17" t="s">
        <v>96</v>
      </c>
      <c r="U550" s="10">
        <f>IF(T550="Heavy physical",0,IF(T550="Moderate activity",1,2))</f>
      </c>
      <c r="V550" s="18" t="s">
        <v>44</v>
      </c>
      <c r="W550" s="10">
        <f>IF(V550="7–8 hours",0,IF(V550="6–7 hours",1,2))</f>
      </c>
      <c r="X550" s="17" t="s">
        <v>83</v>
      </c>
      <c r="Y550" s="17" t="s">
        <v>244</v>
      </c>
      <c r="Z550" s="17" t="s">
        <v>45</v>
      </c>
      <c r="AA550" s="17" t="s">
        <v>42</v>
      </c>
      <c r="AB550" s="17" t="s">
        <v>42</v>
      </c>
      <c r="AC550" s="17" t="s">
        <v>245</v>
      </c>
      <c r="AD550" s="10">
        <f>I550 + Q550 + U550 + W550</f>
      </c>
      <c r="AE550" s="10">
        <f>IF(AD550&lt;=2,0,IF(AD550&lt;=5,1,2))</f>
      </c>
      <c r="AF550" s="7"/>
    </row>
    <row x14ac:dyDescent="0.25" r="551" customHeight="1" ht="17.25" hidden="1">
      <c r="A551" s="17" t="s">
        <v>251</v>
      </c>
      <c r="B551" s="17" t="s">
        <v>273</v>
      </c>
      <c r="C551" s="17" t="s">
        <v>33</v>
      </c>
      <c r="D551" s="18" t="s">
        <v>242</v>
      </c>
      <c r="E551" s="17" t="s">
        <v>51</v>
      </c>
      <c r="F551" s="19">
        <v>162</v>
      </c>
      <c r="G551" s="20">
        <v>40</v>
      </c>
      <c r="H551" s="12">
        <f>G551/((F551/100)*(F551/100))</f>
      </c>
      <c r="I551" s="11">
        <f>IF(H551&lt;25,0,IF(H551&lt;30,1,2))</f>
      </c>
      <c r="J551" s="18" t="s">
        <v>246</v>
      </c>
      <c r="K551" s="17" t="s">
        <v>237</v>
      </c>
      <c r="L551" s="17" t="s">
        <v>277</v>
      </c>
      <c r="M551" s="17" t="s">
        <v>37</v>
      </c>
      <c r="N551" s="17" t="s">
        <v>179</v>
      </c>
      <c r="O551" s="17" t="s">
        <v>239</v>
      </c>
      <c r="P551" s="15" t="s">
        <v>132</v>
      </c>
      <c r="Q551" s="10">
        <f>IF(P551="None of the above",0,2)</f>
      </c>
      <c r="R551" s="17" t="s">
        <v>41</v>
      </c>
      <c r="S551" s="17" t="s">
        <v>42</v>
      </c>
      <c r="T551" s="17" t="s">
        <v>96</v>
      </c>
      <c r="U551" s="10">
        <f>IF(T551="Heavy physical",0,IF(T551="Moderate activity",1,2))</f>
      </c>
      <c r="V551" s="18" t="s">
        <v>57</v>
      </c>
      <c r="W551" s="10">
        <f>IF(V551="7–8 hours",0,IF(V551="6–7 hours",1,2))</f>
      </c>
      <c r="X551" s="17" t="s">
        <v>45</v>
      </c>
      <c r="Y551" s="17" t="s">
        <v>64</v>
      </c>
      <c r="Z551" s="17" t="s">
        <v>45</v>
      </c>
      <c r="AA551" s="17" t="s">
        <v>42</v>
      </c>
      <c r="AB551" s="17" t="s">
        <v>42</v>
      </c>
      <c r="AC551" s="17" t="s">
        <v>245</v>
      </c>
      <c r="AD551" s="10">
        <f>I551 + Q551 + U551 + W551</f>
      </c>
      <c r="AE551" s="10">
        <f>IF(AD551&lt;=2,0,IF(AD551&lt;=5,1,2))</f>
      </c>
      <c r="AF551" s="7"/>
    </row>
    <row x14ac:dyDescent="0.25" r="552" customHeight="1" ht="17.25" hidden="1">
      <c r="A552" s="17" t="s">
        <v>251</v>
      </c>
      <c r="B552" s="17" t="s">
        <v>241</v>
      </c>
      <c r="C552" s="17" t="s">
        <v>234</v>
      </c>
      <c r="D552" s="18" t="s">
        <v>274</v>
      </c>
      <c r="E552" s="17" t="s">
        <v>34</v>
      </c>
      <c r="F552" s="19">
        <v>158</v>
      </c>
      <c r="G552" s="20">
        <v>38</v>
      </c>
      <c r="H552" s="12">
        <f>G552/((F552/100)*(F552/100))</f>
      </c>
      <c r="I552" s="11">
        <f>IF(H552&lt;25,0,IF(H552&lt;30,1,2))</f>
      </c>
      <c r="J552" s="18" t="s">
        <v>246</v>
      </c>
      <c r="K552" s="17" t="s">
        <v>237</v>
      </c>
      <c r="L552" s="17" t="s">
        <v>238</v>
      </c>
      <c r="M552" s="17" t="s">
        <v>185</v>
      </c>
      <c r="N552" s="17" t="s">
        <v>38</v>
      </c>
      <c r="O552" s="17" t="s">
        <v>239</v>
      </c>
      <c r="P552" s="15" t="s">
        <v>132</v>
      </c>
      <c r="Q552" s="10">
        <f>IF(P552="None of the above",0,2)</f>
      </c>
      <c r="R552" s="17" t="s">
        <v>56</v>
      </c>
      <c r="S552" s="17" t="s">
        <v>42</v>
      </c>
      <c r="T552" s="17" t="s">
        <v>96</v>
      </c>
      <c r="U552" s="10">
        <f>IF(T552="Heavy physical",0,IF(T552="Moderate activity",1,2))</f>
      </c>
      <c r="V552" s="18" t="s">
        <v>69</v>
      </c>
      <c r="W552" s="10">
        <f>IF(V552="7–8 hours",0,IF(V552="6–7 hours",1,2))</f>
      </c>
      <c r="X552" s="17" t="s">
        <v>45</v>
      </c>
      <c r="Y552" s="17" t="s">
        <v>75</v>
      </c>
      <c r="Z552" s="17" t="s">
        <v>45</v>
      </c>
      <c r="AA552" s="17" t="s">
        <v>42</v>
      </c>
      <c r="AB552" s="17" t="s">
        <v>42</v>
      </c>
      <c r="AC552" s="17" t="s">
        <v>247</v>
      </c>
      <c r="AD552" s="10">
        <f>I552 + Q552 + U552 + W552</f>
      </c>
      <c r="AE552" s="10">
        <f>IF(AD552&lt;=2,0,IF(AD552&lt;=5,1,2))</f>
      </c>
      <c r="AF552" s="7"/>
    </row>
    <row x14ac:dyDescent="0.25" r="553" customHeight="1" ht="17.25" hidden="1">
      <c r="A553" s="17" t="s">
        <v>251</v>
      </c>
      <c r="B553" s="17" t="s">
        <v>248</v>
      </c>
      <c r="C553" s="17" t="s">
        <v>33</v>
      </c>
      <c r="D553" s="18" t="s">
        <v>274</v>
      </c>
      <c r="E553" s="17" t="s">
        <v>51</v>
      </c>
      <c r="F553" s="19">
        <v>174</v>
      </c>
      <c r="G553" s="20">
        <v>65</v>
      </c>
      <c r="H553" s="12">
        <f>G553/((F553/100)*(F553/100))</f>
      </c>
      <c r="I553" s="11">
        <f>IF(H553&lt;25,0,IF(H553&lt;30,1,2))</f>
      </c>
      <c r="J553" s="18" t="s">
        <v>236</v>
      </c>
      <c r="K553" s="17" t="s">
        <v>237</v>
      </c>
      <c r="L553" s="17" t="s">
        <v>293</v>
      </c>
      <c r="M553" s="17" t="s">
        <v>54</v>
      </c>
      <c r="N553" s="17" t="s">
        <v>38</v>
      </c>
      <c r="O553" s="17" t="s">
        <v>239</v>
      </c>
      <c r="P553" s="15" t="s">
        <v>132</v>
      </c>
      <c r="Q553" s="10">
        <f>IF(P553="None of the above",0,2)</f>
      </c>
      <c r="R553" s="17" t="s">
        <v>56</v>
      </c>
      <c r="S553" s="17" t="s">
        <v>42</v>
      </c>
      <c r="T553" s="17" t="s">
        <v>43</v>
      </c>
      <c r="U553" s="10">
        <f>IF(T553="Heavy physical",0,IF(T553="Moderate activity",1,2))</f>
      </c>
      <c r="V553" s="18" t="s">
        <v>44</v>
      </c>
      <c r="W553" s="10">
        <f>IF(V553="7–8 hours",0,IF(V553="6–7 hours",1,2))</f>
      </c>
      <c r="X553" s="17" t="s">
        <v>45</v>
      </c>
      <c r="Y553" s="17" t="s">
        <v>64</v>
      </c>
      <c r="Z553" s="17" t="s">
        <v>45</v>
      </c>
      <c r="AA553" s="17" t="s">
        <v>42</v>
      </c>
      <c r="AB553" s="17" t="s">
        <v>42</v>
      </c>
      <c r="AC553" s="17" t="s">
        <v>245</v>
      </c>
      <c r="AD553" s="10">
        <f>I553 + Q553 + U553 + W553</f>
      </c>
      <c r="AE553" s="10">
        <f>IF(AD553&lt;=2,0,IF(AD553&lt;=5,1,2))</f>
      </c>
      <c r="AF553" s="7"/>
    </row>
    <row x14ac:dyDescent="0.25" r="554" customHeight="1" ht="17.25" hidden="1">
      <c r="A554" s="17" t="s">
        <v>251</v>
      </c>
      <c r="B554" s="17" t="s">
        <v>273</v>
      </c>
      <c r="C554" s="17" t="s">
        <v>33</v>
      </c>
      <c r="D554" s="18" t="s">
        <v>242</v>
      </c>
      <c r="E554" s="17" t="s">
        <v>51</v>
      </c>
      <c r="F554" s="19">
        <v>170</v>
      </c>
      <c r="G554" s="20">
        <v>55</v>
      </c>
      <c r="H554" s="12">
        <f>G554/((F554/100)*(F554/100))</f>
      </c>
      <c r="I554" s="11">
        <f>IF(H554&lt;25,0,IF(H554&lt;30,1,2))</f>
      </c>
      <c r="J554" s="18" t="s">
        <v>246</v>
      </c>
      <c r="K554" s="17" t="s">
        <v>237</v>
      </c>
      <c r="L554" s="17" t="s">
        <v>294</v>
      </c>
      <c r="M554" s="17" t="s">
        <v>54</v>
      </c>
      <c r="N554" s="17" t="s">
        <v>38</v>
      </c>
      <c r="O554" s="17" t="s">
        <v>258</v>
      </c>
      <c r="P554" s="15" t="s">
        <v>132</v>
      </c>
      <c r="Q554" s="10">
        <f>IF(P554="None of the above",0,2)</f>
      </c>
      <c r="R554" s="17" t="s">
        <v>56</v>
      </c>
      <c r="S554" s="17" t="s">
        <v>48</v>
      </c>
      <c r="T554" s="17" t="s">
        <v>82</v>
      </c>
      <c r="U554" s="10">
        <f>IF(T554="Heavy physical",0,IF(T554="Moderate activity",1,2))</f>
      </c>
      <c r="V554" s="18" t="s">
        <v>97</v>
      </c>
      <c r="W554" s="10">
        <f>IF(V554="7–8 hours",0,IF(V554="6–7 hours",1,2))</f>
      </c>
      <c r="X554" s="17" t="s">
        <v>45</v>
      </c>
      <c r="Y554" s="17" t="s">
        <v>64</v>
      </c>
      <c r="Z554" s="17" t="s">
        <v>65</v>
      </c>
      <c r="AA554" s="17" t="s">
        <v>42</v>
      </c>
      <c r="AB554" s="17" t="s">
        <v>42</v>
      </c>
      <c r="AC554" s="17" t="s">
        <v>245</v>
      </c>
      <c r="AD554" s="10">
        <f>I554 + Q554 + U554 + W554</f>
      </c>
      <c r="AE554" s="10">
        <f>IF(AD554&lt;=2,0,IF(AD554&lt;=5,1,2))</f>
      </c>
      <c r="AF554" s="7"/>
    </row>
    <row x14ac:dyDescent="0.25" r="555" customHeight="1" ht="17.25" hidden="1">
      <c r="A555" s="17" t="s">
        <v>251</v>
      </c>
      <c r="B555" s="17" t="s">
        <v>252</v>
      </c>
      <c r="C555" s="17" t="s">
        <v>271</v>
      </c>
      <c r="D555" s="18" t="s">
        <v>242</v>
      </c>
      <c r="E555" s="17" t="s">
        <v>34</v>
      </c>
      <c r="F555" s="19">
        <v>168</v>
      </c>
      <c r="G555" s="20">
        <v>42</v>
      </c>
      <c r="H555" s="12">
        <f>G555/((F555/100)*(F555/100))</f>
      </c>
      <c r="I555" s="11">
        <f>IF(H555&lt;25,0,IF(H555&lt;30,1,2))</f>
      </c>
      <c r="J555" s="18" t="s">
        <v>246</v>
      </c>
      <c r="K555" s="17" t="s">
        <v>237</v>
      </c>
      <c r="L555" s="17" t="s">
        <v>295</v>
      </c>
      <c r="M555" s="17" t="s">
        <v>185</v>
      </c>
      <c r="N555" s="17" t="s">
        <v>118</v>
      </c>
      <c r="O555" s="17" t="s">
        <v>239</v>
      </c>
      <c r="P555" s="15" t="s">
        <v>132</v>
      </c>
      <c r="Q555" s="10">
        <f>IF(P555="None of the above",0,2)</f>
      </c>
      <c r="R555" s="17" t="s">
        <v>89</v>
      </c>
      <c r="S555" s="17" t="s">
        <v>42</v>
      </c>
      <c r="T555" s="17" t="s">
        <v>43</v>
      </c>
      <c r="U555" s="10">
        <f>IF(T555="Heavy physical",0,IF(T555="Moderate activity",1,2))</f>
      </c>
      <c r="V555" s="18" t="s">
        <v>44</v>
      </c>
      <c r="W555" s="10">
        <f>IF(V555="7–8 hours",0,IF(V555="6–7 hours",1,2))</f>
      </c>
      <c r="X555" s="17" t="s">
        <v>45</v>
      </c>
      <c r="Y555" s="17" t="s">
        <v>46</v>
      </c>
      <c r="Z555" s="17" t="s">
        <v>45</v>
      </c>
      <c r="AA555" s="17" t="s">
        <v>42</v>
      </c>
      <c r="AB555" s="17" t="s">
        <v>42</v>
      </c>
      <c r="AC555" s="17" t="s">
        <v>240</v>
      </c>
      <c r="AD555" s="10">
        <f>I555 + Q555 + U555 + W555</f>
      </c>
      <c r="AE555" s="10">
        <f>IF(AD555&lt;=2,0,IF(AD555&lt;=5,1,2))</f>
      </c>
      <c r="AF555" s="7"/>
    </row>
    <row x14ac:dyDescent="0.25" r="556" customHeight="1" ht="17.25" hidden="1">
      <c r="A556" s="17" t="s">
        <v>251</v>
      </c>
      <c r="B556" s="17" t="s">
        <v>252</v>
      </c>
      <c r="C556" s="17" t="s">
        <v>126</v>
      </c>
      <c r="D556" s="18" t="s">
        <v>242</v>
      </c>
      <c r="E556" s="17" t="s">
        <v>34</v>
      </c>
      <c r="F556" s="19">
        <v>115</v>
      </c>
      <c r="G556" s="20">
        <v>45</v>
      </c>
      <c r="H556" s="12">
        <f>G556/((F556/100)*(F556/100))</f>
      </c>
      <c r="I556" s="11">
        <f>IF(H556&lt;25,0,IF(H556&lt;30,1,2))</f>
      </c>
      <c r="J556" s="18" t="s">
        <v>246</v>
      </c>
      <c r="K556" s="17" t="s">
        <v>237</v>
      </c>
      <c r="L556" s="17" t="s">
        <v>152</v>
      </c>
      <c r="M556" s="17" t="s">
        <v>185</v>
      </c>
      <c r="N556" s="17" t="s">
        <v>38</v>
      </c>
      <c r="O556" s="17" t="s">
        <v>239</v>
      </c>
      <c r="P556" s="15" t="s">
        <v>132</v>
      </c>
      <c r="Q556" s="10">
        <f>IF(P556="None of the above",0,2)</f>
      </c>
      <c r="R556" s="17" t="s">
        <v>56</v>
      </c>
      <c r="S556" s="17" t="s">
        <v>42</v>
      </c>
      <c r="T556" s="17" t="s">
        <v>43</v>
      </c>
      <c r="U556" s="10">
        <f>IF(T556="Heavy physical",0,IF(T556="Moderate activity",1,2))</f>
      </c>
      <c r="V556" s="18" t="s">
        <v>44</v>
      </c>
      <c r="W556" s="10">
        <f>IF(V556="7–8 hours",0,IF(V556="6–7 hours",1,2))</f>
      </c>
      <c r="X556" s="17" t="s">
        <v>45</v>
      </c>
      <c r="Y556" s="17" t="s">
        <v>75</v>
      </c>
      <c r="Z556" s="17" t="s">
        <v>45</v>
      </c>
      <c r="AA556" s="17" t="s">
        <v>42</v>
      </c>
      <c r="AB556" s="17" t="s">
        <v>42</v>
      </c>
      <c r="AC556" s="17" t="s">
        <v>245</v>
      </c>
      <c r="AD556" s="10">
        <f>I556 + Q556 + U556 + W556</f>
      </c>
      <c r="AE556" s="10">
        <f>IF(AD556&lt;=2,0,IF(AD556&lt;=5,1,2))</f>
      </c>
      <c r="AF556" s="7"/>
    </row>
    <row x14ac:dyDescent="0.25" r="557" customHeight="1" ht="17.25" hidden="1">
      <c r="A557" s="17" t="s">
        <v>268</v>
      </c>
      <c r="B557" s="17" t="s">
        <v>252</v>
      </c>
      <c r="C557" s="17" t="s">
        <v>234</v>
      </c>
      <c r="D557" s="18" t="s">
        <v>242</v>
      </c>
      <c r="E557" s="17" t="s">
        <v>34</v>
      </c>
      <c r="F557" s="19">
        <v>154</v>
      </c>
      <c r="G557" s="20">
        <v>40</v>
      </c>
      <c r="H557" s="12">
        <f>G557/((F557/100)*(F557/100))</f>
      </c>
      <c r="I557" s="11">
        <f>IF(H557&lt;25,0,IF(H557&lt;30,1,2))</f>
      </c>
      <c r="J557" s="18" t="s">
        <v>236</v>
      </c>
      <c r="K557" s="17" t="s">
        <v>237</v>
      </c>
      <c r="L557" s="17" t="s">
        <v>296</v>
      </c>
      <c r="M557" s="17" t="s">
        <v>37</v>
      </c>
      <c r="N557" s="17" t="s">
        <v>38</v>
      </c>
      <c r="O557" s="17" t="s">
        <v>272</v>
      </c>
      <c r="P557" s="17" t="s">
        <v>81</v>
      </c>
      <c r="Q557" s="10">
        <f>IF(P557="None of the above",0,2)</f>
      </c>
      <c r="R557" s="17" t="s">
        <v>56</v>
      </c>
      <c r="S557" s="17" t="s">
        <v>42</v>
      </c>
      <c r="T557" s="17" t="s">
        <v>96</v>
      </c>
      <c r="U557" s="10">
        <f>IF(T557="Heavy physical",0,IF(T557="Moderate activity",1,2))</f>
      </c>
      <c r="V557" s="18" t="s">
        <v>69</v>
      </c>
      <c r="W557" s="10">
        <f>IF(V557="7–8 hours",0,IF(V557="6–7 hours",1,2))</f>
      </c>
      <c r="X557" s="17" t="s">
        <v>45</v>
      </c>
      <c r="Y557" s="17" t="s">
        <v>75</v>
      </c>
      <c r="Z557" s="17" t="s">
        <v>297</v>
      </c>
      <c r="AA557" s="17" t="s">
        <v>42</v>
      </c>
      <c r="AB557" s="17" t="s">
        <v>42</v>
      </c>
      <c r="AC557" s="17" t="s">
        <v>247</v>
      </c>
      <c r="AD557" s="10">
        <f>I557 + Q557 + U557 + W557</f>
      </c>
      <c r="AE557" s="10">
        <f>IF(AD557&lt;=2,0,IF(AD557&lt;=5,1,2))</f>
      </c>
      <c r="AF557" s="7"/>
    </row>
    <row x14ac:dyDescent="0.25" r="558" customHeight="1" ht="17.25" hidden="1">
      <c r="A558" s="17" t="s">
        <v>251</v>
      </c>
      <c r="B558" s="17" t="s">
        <v>252</v>
      </c>
      <c r="C558" s="17" t="s">
        <v>33</v>
      </c>
      <c r="D558" s="18" t="s">
        <v>274</v>
      </c>
      <c r="E558" s="17" t="s">
        <v>34</v>
      </c>
      <c r="F558" s="19">
        <v>152</v>
      </c>
      <c r="G558" s="20">
        <v>46</v>
      </c>
      <c r="H558" s="12">
        <f>G558/((F558/100)*(F558/100))</f>
      </c>
      <c r="I558" s="11">
        <f>IF(H558&lt;25,0,IF(H558&lt;30,1,2))</f>
      </c>
      <c r="J558" s="18" t="s">
        <v>284</v>
      </c>
      <c r="K558" s="17" t="s">
        <v>237</v>
      </c>
      <c r="L558" s="17" t="s">
        <v>238</v>
      </c>
      <c r="M558" s="17" t="s">
        <v>37</v>
      </c>
      <c r="N558" s="17" t="s">
        <v>179</v>
      </c>
      <c r="O558" s="17" t="s">
        <v>239</v>
      </c>
      <c r="P558" s="17" t="s">
        <v>81</v>
      </c>
      <c r="Q558" s="10">
        <f>IF(P558="None of the above",0,2)</f>
      </c>
      <c r="R558" s="17" t="s">
        <v>56</v>
      </c>
      <c r="S558" s="17" t="s">
        <v>42</v>
      </c>
      <c r="T558" s="17" t="s">
        <v>43</v>
      </c>
      <c r="U558" s="10">
        <f>IF(T558="Heavy physical",0,IF(T558="Moderate activity",1,2))</f>
      </c>
      <c r="V558" s="18" t="s">
        <v>69</v>
      </c>
      <c r="W558" s="10">
        <f>IF(V558="7–8 hours",0,IF(V558="6–7 hours",1,2))</f>
      </c>
      <c r="X558" s="17" t="s">
        <v>45</v>
      </c>
      <c r="Y558" s="17" t="s">
        <v>75</v>
      </c>
      <c r="Z558" s="17" t="s">
        <v>45</v>
      </c>
      <c r="AA558" s="17" t="s">
        <v>42</v>
      </c>
      <c r="AB558" s="17" t="s">
        <v>42</v>
      </c>
      <c r="AC558" s="17" t="s">
        <v>247</v>
      </c>
      <c r="AD558" s="10">
        <f>I558 + Q558 + U558 + W558</f>
      </c>
      <c r="AE558" s="10">
        <f>IF(AD558&lt;=2,0,IF(AD558&lt;=5,1,2))</f>
      </c>
      <c r="AF558" s="7"/>
    </row>
    <row x14ac:dyDescent="0.25" r="559" customHeight="1" ht="17.25" hidden="1">
      <c r="A559" s="17" t="s">
        <v>251</v>
      </c>
      <c r="B559" s="17" t="s">
        <v>241</v>
      </c>
      <c r="C559" s="17" t="s">
        <v>126</v>
      </c>
      <c r="D559" s="18" t="s">
        <v>249</v>
      </c>
      <c r="E559" s="17" t="s">
        <v>51</v>
      </c>
      <c r="F559" s="19">
        <v>170</v>
      </c>
      <c r="G559" s="20">
        <v>48</v>
      </c>
      <c r="H559" s="12">
        <f>G559/((F559/100)*(F559/100))</f>
      </c>
      <c r="I559" s="11">
        <f>IF(H559&lt;25,0,IF(H559&lt;30,1,2))</f>
      </c>
      <c r="J559" s="18" t="s">
        <v>236</v>
      </c>
      <c r="K559" s="17" t="s">
        <v>237</v>
      </c>
      <c r="L559" s="17" t="s">
        <v>243</v>
      </c>
      <c r="M559" s="17" t="s">
        <v>37</v>
      </c>
      <c r="N559" s="17" t="s">
        <v>38</v>
      </c>
      <c r="O559" s="17" t="s">
        <v>239</v>
      </c>
      <c r="P559" s="17" t="s">
        <v>81</v>
      </c>
      <c r="Q559" s="10">
        <f>IF(P559="None of the above",0,2)</f>
      </c>
      <c r="R559" s="17" t="s">
        <v>56</v>
      </c>
      <c r="S559" s="17" t="s">
        <v>48</v>
      </c>
      <c r="T559" s="17" t="s">
        <v>275</v>
      </c>
      <c r="U559" s="10">
        <f>IF(T559="Heavy physical",0,IF(T559="Moderate activity",1,2))</f>
      </c>
      <c r="V559" s="18" t="s">
        <v>44</v>
      </c>
      <c r="W559" s="10">
        <f>IF(V559="7–8 hours",0,IF(V559="6–7 hours",1,2))</f>
      </c>
      <c r="X559" s="17" t="s">
        <v>45</v>
      </c>
      <c r="Y559" s="17" t="s">
        <v>46</v>
      </c>
      <c r="Z559" s="17" t="s">
        <v>45</v>
      </c>
      <c r="AA559" s="17" t="s">
        <v>42</v>
      </c>
      <c r="AB559" s="17" t="s">
        <v>42</v>
      </c>
      <c r="AC559" s="17" t="s">
        <v>245</v>
      </c>
      <c r="AD559" s="10">
        <f>I559 + Q559 + U559 + W559</f>
      </c>
      <c r="AE559" s="10">
        <f>IF(AD559&lt;=2,0,IF(AD559&lt;=5,1,2))</f>
      </c>
      <c r="AF559" s="7"/>
    </row>
    <row x14ac:dyDescent="0.25" r="560" customHeight="1" ht="18">
      <c r="A560" s="17" t="s">
        <v>251</v>
      </c>
      <c r="B560" s="17" t="s">
        <v>241</v>
      </c>
      <c r="C560" s="17" t="s">
        <v>50</v>
      </c>
      <c r="D560" s="18" t="s">
        <v>274</v>
      </c>
      <c r="E560" s="17" t="s">
        <v>34</v>
      </c>
      <c r="F560" s="19">
        <v>150</v>
      </c>
      <c r="G560" s="20">
        <v>43</v>
      </c>
      <c r="H560" s="12">
        <f>G560/((F560/100)*(F560/100))</f>
      </c>
      <c r="I560" s="11">
        <f>IF(H560&lt;25,0,IF(H560&lt;30,1,2))</f>
      </c>
      <c r="J560" s="18" t="s">
        <v>246</v>
      </c>
      <c r="K560" s="17" t="s">
        <v>237</v>
      </c>
      <c r="L560" s="17" t="s">
        <v>36</v>
      </c>
      <c r="M560" s="17" t="s">
        <v>37</v>
      </c>
      <c r="N560" s="17" t="s">
        <v>179</v>
      </c>
      <c r="O560" s="17" t="s">
        <v>239</v>
      </c>
      <c r="P560" s="17" t="s">
        <v>196</v>
      </c>
      <c r="Q560" s="10">
        <f>IF(P560="None of the above",0,2)</f>
      </c>
      <c r="R560" s="17" t="s">
        <v>56</v>
      </c>
      <c r="S560" s="17" t="s">
        <v>48</v>
      </c>
      <c r="T560" s="17" t="s">
        <v>96</v>
      </c>
      <c r="U560" s="10">
        <f>IF(T560="Heavy physical",0,IF(T560="Moderate activity",1,2))</f>
      </c>
      <c r="V560" s="18" t="s">
        <v>69</v>
      </c>
      <c r="W560" s="10">
        <f>IF(V560="7–8 hours",0,IF(V560="6–7 hours",1,2))</f>
      </c>
      <c r="X560" s="17" t="s">
        <v>45</v>
      </c>
      <c r="Y560" s="17" t="s">
        <v>75</v>
      </c>
      <c r="Z560" s="17" t="s">
        <v>298</v>
      </c>
      <c r="AA560" s="17" t="s">
        <v>42</v>
      </c>
      <c r="AB560" s="17" t="s">
        <v>42</v>
      </c>
      <c r="AC560" s="17" t="s">
        <v>247</v>
      </c>
      <c r="AD560" s="10">
        <f>I560 + Q560 + U560 + W560</f>
      </c>
      <c r="AE560" s="10">
        <f>IF(AD560&lt;=2,0,IF(AD560&lt;=5,1,2))</f>
      </c>
      <c r="AF560" s="7"/>
    </row>
    <row x14ac:dyDescent="0.25" r="561" customHeight="1" ht="18">
      <c r="A561" s="17" t="s">
        <v>251</v>
      </c>
      <c r="B561" s="17" t="s">
        <v>252</v>
      </c>
      <c r="C561" s="17" t="s">
        <v>33</v>
      </c>
      <c r="D561" s="18" t="s">
        <v>242</v>
      </c>
      <c r="E561" s="17" t="s">
        <v>34</v>
      </c>
      <c r="F561" s="19">
        <v>153</v>
      </c>
      <c r="G561" s="20">
        <v>47</v>
      </c>
      <c r="H561" s="12">
        <f>G561/((F561/100)*(F561/100))</f>
      </c>
      <c r="I561" s="11">
        <f>IF(H561&lt;25,0,IF(H561&lt;30,1,2))</f>
      </c>
      <c r="J561" s="18" t="s">
        <v>246</v>
      </c>
      <c r="K561" s="17" t="s">
        <v>237</v>
      </c>
      <c r="L561" s="17" t="s">
        <v>299</v>
      </c>
      <c r="M561" s="17" t="s">
        <v>37</v>
      </c>
      <c r="N561" s="17" t="s">
        <v>38</v>
      </c>
      <c r="O561" s="17" t="s">
        <v>239</v>
      </c>
      <c r="P561" s="17" t="s">
        <v>196</v>
      </c>
      <c r="Q561" s="10">
        <f>IF(P561="None of the above",0,2)</f>
      </c>
      <c r="R561" s="17" t="s">
        <v>56</v>
      </c>
      <c r="S561" s="17" t="s">
        <v>42</v>
      </c>
      <c r="T561" s="17" t="s">
        <v>43</v>
      </c>
      <c r="U561" s="10">
        <f>IF(T561="Heavy physical",0,IF(T561="Moderate activity",1,2))</f>
      </c>
      <c r="V561" s="18" t="s">
        <v>57</v>
      </c>
      <c r="W561" s="10">
        <f>IF(V561="7–8 hours",0,IF(V561="6–7 hours",1,2))</f>
      </c>
      <c r="X561" s="17" t="s">
        <v>45</v>
      </c>
      <c r="Y561" s="17" t="s">
        <v>75</v>
      </c>
      <c r="Z561" s="17" t="s">
        <v>45</v>
      </c>
      <c r="AA561" s="17" t="s">
        <v>42</v>
      </c>
      <c r="AB561" s="17" t="s">
        <v>42</v>
      </c>
      <c r="AC561" s="17" t="s">
        <v>247</v>
      </c>
      <c r="AD561" s="10">
        <f>I561 + Q561 + U561 + W561</f>
      </c>
      <c r="AE561" s="10">
        <f>IF(AD561&lt;=2,0,IF(AD561&lt;=5,1,2))</f>
      </c>
      <c r="AF561" s="7"/>
    </row>
    <row x14ac:dyDescent="0.25" r="562" customHeight="1" ht="18">
      <c r="A562" s="17" t="s">
        <v>251</v>
      </c>
      <c r="B562" s="17" t="s">
        <v>241</v>
      </c>
      <c r="C562" s="17" t="s">
        <v>253</v>
      </c>
      <c r="D562" s="18" t="s">
        <v>242</v>
      </c>
      <c r="E562" s="17" t="s">
        <v>34</v>
      </c>
      <c r="F562" s="19">
        <v>160</v>
      </c>
      <c r="G562" s="20">
        <v>58</v>
      </c>
      <c r="H562" s="12">
        <f>G562/((F562/100)*(F562/100))</f>
      </c>
      <c r="I562" s="11">
        <f>IF(H562&lt;25,0,IF(H562&lt;30,1,2))</f>
      </c>
      <c r="J562" s="18" t="s">
        <v>246</v>
      </c>
      <c r="K562" s="17" t="s">
        <v>237</v>
      </c>
      <c r="L562" s="17" t="s">
        <v>152</v>
      </c>
      <c r="M562" s="17" t="s">
        <v>185</v>
      </c>
      <c r="N562" s="17" t="s">
        <v>38</v>
      </c>
      <c r="O562" s="17" t="s">
        <v>258</v>
      </c>
      <c r="P562" s="17" t="s">
        <v>196</v>
      </c>
      <c r="Q562" s="10">
        <f>IF(P562="None of the above",0,2)</f>
      </c>
      <c r="R562" s="17" t="s">
        <v>56</v>
      </c>
      <c r="S562" s="17" t="s">
        <v>42</v>
      </c>
      <c r="T562" s="17" t="s">
        <v>99</v>
      </c>
      <c r="U562" s="10">
        <f>IF(T562="Heavy physical",0,IF(T562="Moderate activity",1,2))</f>
      </c>
      <c r="V562" s="18" t="s">
        <v>69</v>
      </c>
      <c r="W562" s="10">
        <f>IF(V562="7–8 hours",0,IF(V562="6–7 hours",1,2))</f>
      </c>
      <c r="X562" s="17" t="s">
        <v>45</v>
      </c>
      <c r="Y562" s="17" t="s">
        <v>75</v>
      </c>
      <c r="Z562" s="17" t="s">
        <v>92</v>
      </c>
      <c r="AA562" s="17" t="s">
        <v>42</v>
      </c>
      <c r="AB562" s="17" t="s">
        <v>42</v>
      </c>
      <c r="AC562" s="17" t="s">
        <v>245</v>
      </c>
      <c r="AD562" s="10">
        <f>I562 + Q562 + U562 + W562</f>
      </c>
      <c r="AE562" s="10">
        <f>IF(AD562&lt;=2,0,IF(AD562&lt;=5,1,2))</f>
      </c>
      <c r="AF562" s="7"/>
    </row>
    <row x14ac:dyDescent="0.25" r="563" customHeight="1" ht="18">
      <c r="A563" s="17" t="s">
        <v>251</v>
      </c>
      <c r="B563" s="17" t="s">
        <v>233</v>
      </c>
      <c r="C563" s="17" t="s">
        <v>50</v>
      </c>
      <c r="D563" s="18" t="s">
        <v>242</v>
      </c>
      <c r="E563" s="17" t="s">
        <v>51</v>
      </c>
      <c r="F563" s="21">
        <v>172.72</v>
      </c>
      <c r="G563" s="20">
        <v>50</v>
      </c>
      <c r="H563" s="12">
        <f>G563/((F563/100)*(F563/100))</f>
      </c>
      <c r="I563" s="11">
        <f>IF(H563&lt;25,0,IF(H563&lt;30,1,2))</f>
      </c>
      <c r="J563" s="18" t="s">
        <v>263</v>
      </c>
      <c r="K563" s="17" t="s">
        <v>237</v>
      </c>
      <c r="L563" s="17" t="s">
        <v>36</v>
      </c>
      <c r="M563" s="17" t="s">
        <v>54</v>
      </c>
      <c r="N563" s="17" t="s">
        <v>38</v>
      </c>
      <c r="O563" s="17" t="s">
        <v>239</v>
      </c>
      <c r="P563" s="17" t="s">
        <v>196</v>
      </c>
      <c r="Q563" s="10">
        <f>IF(P563="None of the above",0,2)</f>
      </c>
      <c r="R563" s="17" t="s">
        <v>56</v>
      </c>
      <c r="S563" s="17" t="s">
        <v>42</v>
      </c>
      <c r="T563" s="17" t="s">
        <v>82</v>
      </c>
      <c r="U563" s="10">
        <f>IF(T563="Heavy physical",0,IF(T563="Moderate activity",1,2))</f>
      </c>
      <c r="V563" s="18" t="s">
        <v>57</v>
      </c>
      <c r="W563" s="10">
        <f>IF(V563="7–8 hours",0,IF(V563="6–7 hours",1,2))</f>
      </c>
      <c r="X563" s="17" t="s">
        <v>45</v>
      </c>
      <c r="Y563" s="17" t="s">
        <v>46</v>
      </c>
      <c r="Z563" s="17" t="s">
        <v>300</v>
      </c>
      <c r="AA563" s="17" t="s">
        <v>42</v>
      </c>
      <c r="AB563" s="17" t="s">
        <v>42</v>
      </c>
      <c r="AC563" s="17" t="s">
        <v>245</v>
      </c>
      <c r="AD563" s="10">
        <f>I563 + Q563 + U563 + W563</f>
      </c>
      <c r="AE563" s="10">
        <f>IF(AD563&lt;=2,0,IF(AD563&lt;=5,1,2))</f>
      </c>
      <c r="AF563" s="7"/>
    </row>
    <row x14ac:dyDescent="0.25" r="564" customHeight="1" ht="18">
      <c r="A564" s="17" t="s">
        <v>251</v>
      </c>
      <c r="B564" s="17" t="s">
        <v>252</v>
      </c>
      <c r="C564" s="17" t="s">
        <v>301</v>
      </c>
      <c r="D564" s="18" t="s">
        <v>274</v>
      </c>
      <c r="E564" s="17" t="s">
        <v>51</v>
      </c>
      <c r="F564" s="19">
        <v>160</v>
      </c>
      <c r="G564" s="20">
        <v>50</v>
      </c>
      <c r="H564" s="12">
        <f>G564/((F564/100)*(F564/100))</f>
      </c>
      <c r="I564" s="11">
        <f>IF(H564&lt;25,0,IF(H564&lt;30,1,2))</f>
      </c>
      <c r="J564" s="18" t="s">
        <v>246</v>
      </c>
      <c r="K564" s="17" t="s">
        <v>237</v>
      </c>
      <c r="L564" s="17" t="s">
        <v>302</v>
      </c>
      <c r="M564" s="17" t="s">
        <v>185</v>
      </c>
      <c r="N564" s="17" t="s">
        <v>179</v>
      </c>
      <c r="O564" s="17" t="s">
        <v>239</v>
      </c>
      <c r="P564" s="17" t="s">
        <v>196</v>
      </c>
      <c r="Q564" s="10">
        <f>IF(P564="None of the above",0,2)</f>
      </c>
      <c r="R564" s="17" t="s">
        <v>56</v>
      </c>
      <c r="S564" s="17" t="s">
        <v>42</v>
      </c>
      <c r="T564" s="17" t="s">
        <v>43</v>
      </c>
      <c r="U564" s="10">
        <f>IF(T564="Heavy physical",0,IF(T564="Moderate activity",1,2))</f>
      </c>
      <c r="V564" s="18" t="s">
        <v>69</v>
      </c>
      <c r="W564" s="10">
        <f>IF(V564="7–8 hours",0,IF(V564="6–7 hours",1,2))</f>
      </c>
      <c r="X564" s="17" t="s">
        <v>45</v>
      </c>
      <c r="Y564" s="17" t="s">
        <v>244</v>
      </c>
      <c r="Z564" s="17" t="s">
        <v>303</v>
      </c>
      <c r="AA564" s="17" t="s">
        <v>42</v>
      </c>
      <c r="AB564" s="17" t="s">
        <v>42</v>
      </c>
      <c r="AC564" s="17" t="s">
        <v>245</v>
      </c>
      <c r="AD564" s="10">
        <f>I564 + Q564 + U564 + W564</f>
      </c>
      <c r="AE564" s="10">
        <f>IF(AD564&lt;=2,0,IF(AD564&lt;=5,1,2))</f>
      </c>
      <c r="AF564" s="7"/>
    </row>
    <row x14ac:dyDescent="0.25" r="565" customHeight="1" ht="18">
      <c r="A565" s="17" t="s">
        <v>251</v>
      </c>
      <c r="B565" s="17" t="s">
        <v>252</v>
      </c>
      <c r="C565" s="17" t="s">
        <v>206</v>
      </c>
      <c r="D565" s="18" t="s">
        <v>242</v>
      </c>
      <c r="E565" s="17" t="s">
        <v>34</v>
      </c>
      <c r="F565" s="19">
        <v>154</v>
      </c>
      <c r="G565" s="20">
        <v>65</v>
      </c>
      <c r="H565" s="12">
        <f>G565/((F565/100)*(F565/100))</f>
      </c>
      <c r="I565" s="11">
        <f>IF(H565&lt;25,0,IF(H565&lt;30,1,2))</f>
      </c>
      <c r="J565" s="18" t="s">
        <v>236</v>
      </c>
      <c r="K565" s="17" t="s">
        <v>237</v>
      </c>
      <c r="L565" s="17" t="s">
        <v>238</v>
      </c>
      <c r="M565" s="17" t="s">
        <v>185</v>
      </c>
      <c r="N565" s="17" t="s">
        <v>118</v>
      </c>
      <c r="O565" s="17" t="s">
        <v>258</v>
      </c>
      <c r="P565" s="17" t="s">
        <v>196</v>
      </c>
      <c r="Q565" s="10">
        <f>IF(P565="None of the above",0,2)</f>
      </c>
      <c r="R565" s="17" t="s">
        <v>56</v>
      </c>
      <c r="S565" s="17" t="s">
        <v>42</v>
      </c>
      <c r="T565" s="17" t="s">
        <v>259</v>
      </c>
      <c r="U565" s="10">
        <f>IF(T565="Heavy physical",0,IF(T565="Moderate activity",1,2))</f>
      </c>
      <c r="V565" s="18" t="s">
        <v>69</v>
      </c>
      <c r="W565" s="10">
        <f>IF(V565="7–8 hours",0,IF(V565="6–7 hours",1,2))</f>
      </c>
      <c r="X565" s="17" t="s">
        <v>45</v>
      </c>
      <c r="Y565" s="17" t="s">
        <v>64</v>
      </c>
      <c r="Z565" s="17" t="s">
        <v>45</v>
      </c>
      <c r="AA565" s="17" t="s">
        <v>42</v>
      </c>
      <c r="AB565" s="17" t="s">
        <v>42</v>
      </c>
      <c r="AC565" s="17" t="s">
        <v>247</v>
      </c>
      <c r="AD565" s="10">
        <f>I565 + Q565 + U565 + W565</f>
      </c>
      <c r="AE565" s="10">
        <f>IF(AD565&lt;=2,0,IF(AD565&lt;=5,1,2))</f>
      </c>
      <c r="AF565" s="7"/>
    </row>
    <row x14ac:dyDescent="0.25" r="566" customHeight="1" ht="18">
      <c r="A566" s="17" t="s">
        <v>251</v>
      </c>
      <c r="B566" s="17" t="s">
        <v>241</v>
      </c>
      <c r="C566" s="17" t="s">
        <v>126</v>
      </c>
      <c r="D566" s="18" t="s">
        <v>242</v>
      </c>
      <c r="E566" s="17" t="s">
        <v>51</v>
      </c>
      <c r="F566" s="19">
        <v>174</v>
      </c>
      <c r="G566" s="20">
        <v>60</v>
      </c>
      <c r="H566" s="12">
        <f>G566/((F566/100)*(F566/100))</f>
      </c>
      <c r="I566" s="11">
        <f>IF(H566&lt;25,0,IF(H566&lt;30,1,2))</f>
      </c>
      <c r="J566" s="18" t="s">
        <v>246</v>
      </c>
      <c r="K566" s="17" t="s">
        <v>237</v>
      </c>
      <c r="L566" s="17" t="s">
        <v>282</v>
      </c>
      <c r="M566" s="17" t="s">
        <v>185</v>
      </c>
      <c r="N566" s="17" t="s">
        <v>38</v>
      </c>
      <c r="O566" s="17" t="s">
        <v>239</v>
      </c>
      <c r="P566" s="17" t="s">
        <v>196</v>
      </c>
      <c r="Q566" s="10">
        <f>IF(P566="None of the above",0,2)</f>
      </c>
      <c r="R566" s="17" t="s">
        <v>56</v>
      </c>
      <c r="S566" s="17" t="s">
        <v>42</v>
      </c>
      <c r="T566" s="17" t="s">
        <v>43</v>
      </c>
      <c r="U566" s="10">
        <f>IF(T566="Heavy physical",0,IF(T566="Moderate activity",1,2))</f>
      </c>
      <c r="V566" s="18" t="s">
        <v>57</v>
      </c>
      <c r="W566" s="10">
        <f>IF(V566="7–8 hours",0,IF(V566="6–7 hours",1,2))</f>
      </c>
      <c r="X566" s="17" t="s">
        <v>45</v>
      </c>
      <c r="Y566" s="17" t="s">
        <v>64</v>
      </c>
      <c r="Z566" s="17" t="s">
        <v>45</v>
      </c>
      <c r="AA566" s="17" t="s">
        <v>42</v>
      </c>
      <c r="AB566" s="17" t="s">
        <v>42</v>
      </c>
      <c r="AC566" s="17" t="s">
        <v>245</v>
      </c>
      <c r="AD566" s="10">
        <f>I566 + Q566 + U566 + W566</f>
      </c>
      <c r="AE566" s="10">
        <f>IF(AD566&lt;=2,0,IF(AD566&lt;=5,1,2))</f>
      </c>
      <c r="AF566" s="7"/>
    </row>
    <row x14ac:dyDescent="0.25" r="567" customHeight="1" ht="18">
      <c r="A567" s="17" t="s">
        <v>251</v>
      </c>
      <c r="B567" s="17" t="s">
        <v>241</v>
      </c>
      <c r="C567" s="17" t="s">
        <v>301</v>
      </c>
      <c r="D567" s="18" t="s">
        <v>242</v>
      </c>
      <c r="E567" s="17" t="s">
        <v>51</v>
      </c>
      <c r="F567" s="19">
        <v>164</v>
      </c>
      <c r="G567" s="20">
        <v>80</v>
      </c>
      <c r="H567" s="12">
        <f>G567/((F567/100)*(F567/100))</f>
      </c>
      <c r="I567" s="11">
        <f>IF(H567&lt;25,0,IF(H567&lt;30,1,2))</f>
      </c>
      <c r="J567" s="18" t="s">
        <v>246</v>
      </c>
      <c r="K567" s="17" t="s">
        <v>237</v>
      </c>
      <c r="L567" s="17" t="s">
        <v>250</v>
      </c>
      <c r="M567" s="17" t="s">
        <v>37</v>
      </c>
      <c r="N567" s="17" t="s">
        <v>38</v>
      </c>
      <c r="O567" s="17" t="s">
        <v>239</v>
      </c>
      <c r="P567" s="17" t="s">
        <v>196</v>
      </c>
      <c r="Q567" s="10">
        <f>IF(P567="None of the above",0,2)</f>
      </c>
      <c r="R567" s="17" t="s">
        <v>56</v>
      </c>
      <c r="S567" s="17" t="s">
        <v>42</v>
      </c>
      <c r="T567" s="17" t="s">
        <v>43</v>
      </c>
      <c r="U567" s="10">
        <f>IF(T567="Heavy physical",0,IF(T567="Moderate activity",1,2))</f>
      </c>
      <c r="V567" s="18" t="s">
        <v>69</v>
      </c>
      <c r="W567" s="10">
        <f>IF(V567="7–8 hours",0,IF(V567="6–7 hours",1,2))</f>
      </c>
      <c r="X567" s="17" t="s">
        <v>70</v>
      </c>
      <c r="Y567" s="17" t="s">
        <v>46</v>
      </c>
      <c r="Z567" s="17" t="s">
        <v>45</v>
      </c>
      <c r="AA567" s="17" t="s">
        <v>42</v>
      </c>
      <c r="AB567" s="17" t="s">
        <v>42</v>
      </c>
      <c r="AC567" s="17" t="s">
        <v>245</v>
      </c>
      <c r="AD567" s="10">
        <f>I567 + Q567 + U567 + W567</f>
      </c>
      <c r="AE567" s="10">
        <f>IF(AD567&lt;=2,0,IF(AD567&lt;=5,1,2))</f>
      </c>
      <c r="AF567" s="7"/>
    </row>
    <row x14ac:dyDescent="0.25" r="568" customHeight="1" ht="18">
      <c r="A568" s="17" t="s">
        <v>251</v>
      </c>
      <c r="B568" s="17" t="s">
        <v>252</v>
      </c>
      <c r="C568" s="17" t="s">
        <v>50</v>
      </c>
      <c r="D568" s="18" t="s">
        <v>242</v>
      </c>
      <c r="E568" s="17" t="s">
        <v>34</v>
      </c>
      <c r="F568" s="19">
        <v>158</v>
      </c>
      <c r="G568" s="20">
        <v>50</v>
      </c>
      <c r="H568" s="12">
        <f>G568/((F568/100)*(F568/100))</f>
      </c>
      <c r="I568" s="11">
        <f>IF(H568&lt;25,0,IF(H568&lt;30,1,2))</f>
      </c>
      <c r="J568" s="18" t="s">
        <v>246</v>
      </c>
      <c r="K568" s="17" t="s">
        <v>237</v>
      </c>
      <c r="L568" s="17" t="s">
        <v>304</v>
      </c>
      <c r="M568" s="17" t="s">
        <v>37</v>
      </c>
      <c r="N568" s="17" t="s">
        <v>179</v>
      </c>
      <c r="O568" s="17" t="s">
        <v>239</v>
      </c>
      <c r="P568" s="17" t="s">
        <v>196</v>
      </c>
      <c r="Q568" s="10">
        <f>IF(P568="None of the above",0,2)</f>
      </c>
      <c r="R568" s="17" t="s">
        <v>56</v>
      </c>
      <c r="S568" s="17" t="s">
        <v>48</v>
      </c>
      <c r="T568" s="17" t="s">
        <v>99</v>
      </c>
      <c r="U568" s="10">
        <f>IF(T568="Heavy physical",0,IF(T568="Moderate activity",1,2))</f>
      </c>
      <c r="V568" s="18" t="s">
        <v>69</v>
      </c>
      <c r="W568" s="10">
        <f>IF(V568="7–8 hours",0,IF(V568="6–7 hours",1,2))</f>
      </c>
      <c r="X568" s="17" t="s">
        <v>45</v>
      </c>
      <c r="Y568" s="17" t="s">
        <v>244</v>
      </c>
      <c r="Z568" s="17" t="s">
        <v>47</v>
      </c>
      <c r="AA568" s="17" t="s">
        <v>42</v>
      </c>
      <c r="AB568" s="17" t="s">
        <v>42</v>
      </c>
      <c r="AC568" s="17" t="s">
        <v>245</v>
      </c>
      <c r="AD568" s="10">
        <f>I568 + Q568 + U568 + W568</f>
      </c>
      <c r="AE568" s="10">
        <f>IF(AD568&lt;=2,0,IF(AD568&lt;=5,1,2))</f>
      </c>
      <c r="AF568" s="7"/>
    </row>
    <row x14ac:dyDescent="0.25" r="569" customHeight="1" ht="18">
      <c r="A569" s="17" t="s">
        <v>251</v>
      </c>
      <c r="B569" s="17" t="s">
        <v>252</v>
      </c>
      <c r="C569" s="17" t="s">
        <v>33</v>
      </c>
      <c r="D569" s="18" t="s">
        <v>242</v>
      </c>
      <c r="E569" s="17" t="s">
        <v>34</v>
      </c>
      <c r="F569" s="19">
        <v>159</v>
      </c>
      <c r="G569" s="20">
        <v>37</v>
      </c>
      <c r="H569" s="12">
        <f>G569/((F569/100)*(F569/100))</f>
      </c>
      <c r="I569" s="11">
        <f>IF(H569&lt;25,0,IF(H569&lt;30,1,2))</f>
      </c>
      <c r="J569" s="18" t="s">
        <v>246</v>
      </c>
      <c r="K569" s="17" t="s">
        <v>237</v>
      </c>
      <c r="L569" s="17" t="s">
        <v>305</v>
      </c>
      <c r="M569" s="17" t="s">
        <v>37</v>
      </c>
      <c r="N569" s="17" t="s">
        <v>38</v>
      </c>
      <c r="O569" s="17" t="s">
        <v>239</v>
      </c>
      <c r="P569" s="17" t="s">
        <v>196</v>
      </c>
      <c r="Q569" s="10">
        <f>IF(P569="None of the above",0,2)</f>
      </c>
      <c r="R569" s="17" t="s">
        <v>56</v>
      </c>
      <c r="S569" s="17" t="s">
        <v>42</v>
      </c>
      <c r="T569" s="17" t="s">
        <v>99</v>
      </c>
      <c r="U569" s="10">
        <f>IF(T569="Heavy physical",0,IF(T569="Moderate activity",1,2))</f>
      </c>
      <c r="V569" s="18" t="s">
        <v>44</v>
      </c>
      <c r="W569" s="10">
        <f>IF(V569="7–8 hours",0,IF(V569="6–7 hours",1,2))</f>
      </c>
      <c r="X569" s="17" t="s">
        <v>45</v>
      </c>
      <c r="Y569" s="17" t="s">
        <v>64</v>
      </c>
      <c r="Z569" s="17" t="s">
        <v>45</v>
      </c>
      <c r="AA569" s="17" t="s">
        <v>42</v>
      </c>
      <c r="AB569" s="17" t="s">
        <v>42</v>
      </c>
      <c r="AC569" s="17" t="s">
        <v>247</v>
      </c>
      <c r="AD569" s="10">
        <f>I569 + Q569 + U569 + W569</f>
      </c>
      <c r="AE569" s="10">
        <f>IF(AD569&lt;=2,0,IF(AD569&lt;=5,1,2))</f>
      </c>
      <c r="AF569" s="7"/>
    </row>
    <row x14ac:dyDescent="0.25" r="570" customHeight="1" ht="18">
      <c r="A570" s="17" t="s">
        <v>251</v>
      </c>
      <c r="B570" s="17" t="s">
        <v>252</v>
      </c>
      <c r="C570" s="17" t="s">
        <v>33</v>
      </c>
      <c r="D570" s="18" t="s">
        <v>242</v>
      </c>
      <c r="E570" s="17" t="s">
        <v>34</v>
      </c>
      <c r="F570" s="19">
        <v>150</v>
      </c>
      <c r="G570" s="20">
        <v>38</v>
      </c>
      <c r="H570" s="12">
        <f>G570/((F570/100)*(F570/100))</f>
      </c>
      <c r="I570" s="11">
        <f>IF(H570&lt;25,0,IF(H570&lt;30,1,2))</f>
      </c>
      <c r="J570" s="18" t="s">
        <v>246</v>
      </c>
      <c r="K570" s="17" t="s">
        <v>237</v>
      </c>
      <c r="L570" s="17" t="s">
        <v>262</v>
      </c>
      <c r="M570" s="17" t="s">
        <v>185</v>
      </c>
      <c r="N570" s="17" t="s">
        <v>118</v>
      </c>
      <c r="O570" s="17" t="s">
        <v>239</v>
      </c>
      <c r="P570" s="17" t="s">
        <v>196</v>
      </c>
      <c r="Q570" s="10">
        <f>IF(P570="None of the above",0,2)</f>
      </c>
      <c r="R570" s="17" t="s">
        <v>41</v>
      </c>
      <c r="S570" s="17" t="s">
        <v>42</v>
      </c>
      <c r="T570" s="17" t="s">
        <v>96</v>
      </c>
      <c r="U570" s="10">
        <f>IF(T570="Heavy physical",0,IF(T570="Moderate activity",1,2))</f>
      </c>
      <c r="V570" s="18" t="s">
        <v>69</v>
      </c>
      <c r="W570" s="10">
        <f>IF(V570="7–8 hours",0,IF(V570="6–7 hours",1,2))</f>
      </c>
      <c r="X570" s="17" t="s">
        <v>45</v>
      </c>
      <c r="Y570" s="17" t="s">
        <v>64</v>
      </c>
      <c r="Z570" s="17" t="s">
        <v>45</v>
      </c>
      <c r="AA570" s="17" t="s">
        <v>42</v>
      </c>
      <c r="AB570" s="17" t="s">
        <v>42</v>
      </c>
      <c r="AC570" s="17" t="s">
        <v>247</v>
      </c>
      <c r="AD570" s="10">
        <f>I570 + Q570 + U570 + W570</f>
      </c>
      <c r="AE570" s="10">
        <f>IF(AD570&lt;=2,0,IF(AD570&lt;=5,1,2))</f>
      </c>
      <c r="AF570" s="7"/>
    </row>
    <row x14ac:dyDescent="0.25" r="571" customHeight="1" ht="18">
      <c r="A571" s="17" t="s">
        <v>130</v>
      </c>
      <c r="B571" s="17" t="s">
        <v>233</v>
      </c>
      <c r="C571" s="17" t="s">
        <v>33</v>
      </c>
      <c r="D571" s="18" t="s">
        <v>242</v>
      </c>
      <c r="E571" s="17" t="s">
        <v>34</v>
      </c>
      <c r="F571" s="19">
        <v>157</v>
      </c>
      <c r="G571" s="20">
        <v>68</v>
      </c>
      <c r="H571" s="12">
        <f>G571/((F571/100)*(F571/100))</f>
      </c>
      <c r="I571" s="11">
        <f>IF(H571&lt;25,0,IF(H571&lt;30,1,2))</f>
      </c>
      <c r="J571" s="18" t="s">
        <v>246</v>
      </c>
      <c r="K571" s="17" t="s">
        <v>237</v>
      </c>
      <c r="L571" s="17" t="s">
        <v>243</v>
      </c>
      <c r="M571" s="17" t="s">
        <v>54</v>
      </c>
      <c r="N571" s="17" t="s">
        <v>118</v>
      </c>
      <c r="O571" s="17" t="s">
        <v>239</v>
      </c>
      <c r="P571" s="17" t="s">
        <v>196</v>
      </c>
      <c r="Q571" s="10">
        <f>IF(P571="None of the above",0,2)</f>
      </c>
      <c r="R571" s="17" t="s">
        <v>41</v>
      </c>
      <c r="S571" s="17" t="s">
        <v>42</v>
      </c>
      <c r="T571" s="17" t="s">
        <v>96</v>
      </c>
      <c r="U571" s="10">
        <f>IF(T571="Heavy physical",0,IF(T571="Moderate activity",1,2))</f>
      </c>
      <c r="V571" s="18" t="s">
        <v>69</v>
      </c>
      <c r="W571" s="10">
        <f>IF(V571="7–8 hours",0,IF(V571="6–7 hours",1,2))</f>
      </c>
      <c r="X571" s="17" t="s">
        <v>45</v>
      </c>
      <c r="Y571" s="17" t="s">
        <v>75</v>
      </c>
      <c r="Z571" s="17" t="s">
        <v>45</v>
      </c>
      <c r="AA571" s="17" t="s">
        <v>42</v>
      </c>
      <c r="AB571" s="17" t="s">
        <v>42</v>
      </c>
      <c r="AC571" s="17" t="s">
        <v>247</v>
      </c>
      <c r="AD571" s="10">
        <f>I571 + Q571 + U571 + W571</f>
      </c>
      <c r="AE571" s="10">
        <f>IF(AD571&lt;=2,0,IF(AD571&lt;=5,1,2))</f>
      </c>
      <c r="AF571" s="7"/>
    </row>
    <row x14ac:dyDescent="0.25" r="572" customHeight="1" ht="18">
      <c r="A572" s="17" t="s">
        <v>251</v>
      </c>
      <c r="B572" s="17" t="s">
        <v>241</v>
      </c>
      <c r="C572" s="17" t="s">
        <v>234</v>
      </c>
      <c r="D572" s="18" t="s">
        <v>249</v>
      </c>
      <c r="E572" s="17" t="s">
        <v>51</v>
      </c>
      <c r="F572" s="19">
        <v>176</v>
      </c>
      <c r="G572" s="20">
        <v>70</v>
      </c>
      <c r="H572" s="12">
        <f>G572/((F572/100)*(F572/100))</f>
      </c>
      <c r="I572" s="11">
        <f>IF(H572&lt;25,0,IF(H572&lt;30,1,2))</f>
      </c>
      <c r="J572" s="18" t="s">
        <v>246</v>
      </c>
      <c r="K572" s="17" t="s">
        <v>237</v>
      </c>
      <c r="L572" s="17" t="s">
        <v>306</v>
      </c>
      <c r="M572" s="17" t="s">
        <v>185</v>
      </c>
      <c r="N572" s="17" t="s">
        <v>38</v>
      </c>
      <c r="O572" s="17" t="s">
        <v>239</v>
      </c>
      <c r="P572" s="17" t="s">
        <v>196</v>
      </c>
      <c r="Q572" s="10">
        <f>IF(P572="None of the above",0,2)</f>
      </c>
      <c r="R572" s="17" t="s">
        <v>56</v>
      </c>
      <c r="S572" s="17" t="s">
        <v>42</v>
      </c>
      <c r="T572" s="17" t="s">
        <v>275</v>
      </c>
      <c r="U572" s="10">
        <f>IF(T572="Heavy physical",0,IF(T572="Moderate activity",1,2))</f>
      </c>
      <c r="V572" s="18" t="s">
        <v>44</v>
      </c>
      <c r="W572" s="10">
        <f>IF(V572="7–8 hours",0,IF(V572="6–7 hours",1,2))</f>
      </c>
      <c r="X572" s="17" t="s">
        <v>70</v>
      </c>
      <c r="Y572" s="17" t="s">
        <v>64</v>
      </c>
      <c r="Z572" s="17" t="s">
        <v>45</v>
      </c>
      <c r="AA572" s="17" t="s">
        <v>42</v>
      </c>
      <c r="AB572" s="17" t="s">
        <v>42</v>
      </c>
      <c r="AC572" s="17" t="s">
        <v>245</v>
      </c>
      <c r="AD572" s="10">
        <f>I572 + Q572 + U572 + W572</f>
      </c>
      <c r="AE572" s="10">
        <f>IF(AD572&lt;=2,0,IF(AD572&lt;=5,1,2))</f>
      </c>
      <c r="AF572" s="7"/>
    </row>
    <row x14ac:dyDescent="0.25" r="573" customHeight="1" ht="18">
      <c r="A573" s="17" t="s">
        <v>251</v>
      </c>
      <c r="B573" s="17" t="s">
        <v>252</v>
      </c>
      <c r="C573" s="17" t="s">
        <v>33</v>
      </c>
      <c r="D573" s="18" t="s">
        <v>242</v>
      </c>
      <c r="E573" s="17" t="s">
        <v>51</v>
      </c>
      <c r="F573" s="19">
        <v>175</v>
      </c>
      <c r="G573" s="20">
        <v>85</v>
      </c>
      <c r="H573" s="12">
        <f>G573/((F573/100)*(F573/100))</f>
      </c>
      <c r="I573" s="11">
        <f>IF(H573&lt;25,0,IF(H573&lt;30,1,2))</f>
      </c>
      <c r="J573" s="18" t="s">
        <v>246</v>
      </c>
      <c r="K573" s="17" t="s">
        <v>237</v>
      </c>
      <c r="L573" s="17" t="s">
        <v>307</v>
      </c>
      <c r="M573" s="17" t="s">
        <v>185</v>
      </c>
      <c r="N573" s="17" t="s">
        <v>38</v>
      </c>
      <c r="O573" s="17" t="s">
        <v>239</v>
      </c>
      <c r="P573" s="17" t="s">
        <v>196</v>
      </c>
      <c r="Q573" s="10">
        <f>IF(P573="None of the above",0,2)</f>
      </c>
      <c r="R573" s="17" t="s">
        <v>56</v>
      </c>
      <c r="S573" s="17" t="s">
        <v>48</v>
      </c>
      <c r="T573" s="17" t="s">
        <v>96</v>
      </c>
      <c r="U573" s="10">
        <f>IF(T573="Heavy physical",0,IF(T573="Moderate activity",1,2))</f>
      </c>
      <c r="V573" s="18" t="s">
        <v>69</v>
      </c>
      <c r="W573" s="10">
        <f>IF(V573="7–8 hours",0,IF(V573="6–7 hours",1,2))</f>
      </c>
      <c r="X573" s="17" t="s">
        <v>70</v>
      </c>
      <c r="Y573" s="17" t="s">
        <v>75</v>
      </c>
      <c r="Z573" s="17" t="s">
        <v>45</v>
      </c>
      <c r="AA573" s="17" t="s">
        <v>42</v>
      </c>
      <c r="AB573" s="17" t="s">
        <v>42</v>
      </c>
      <c r="AC573" s="17" t="s">
        <v>245</v>
      </c>
      <c r="AD573" s="10">
        <f>I573 + Q573 + U573 + W573</f>
      </c>
      <c r="AE573" s="10">
        <f>IF(AD573&lt;=2,0,IF(AD573&lt;=5,1,2))</f>
      </c>
      <c r="AF573" s="7"/>
    </row>
    <row x14ac:dyDescent="0.25" r="574" customHeight="1" ht="18">
      <c r="A574" s="17" t="s">
        <v>251</v>
      </c>
      <c r="B574" s="17" t="s">
        <v>252</v>
      </c>
      <c r="C574" s="17" t="s">
        <v>33</v>
      </c>
      <c r="D574" s="18" t="s">
        <v>242</v>
      </c>
      <c r="E574" s="17" t="s">
        <v>51</v>
      </c>
      <c r="F574" s="19">
        <v>177</v>
      </c>
      <c r="G574" s="20">
        <v>71</v>
      </c>
      <c r="H574" s="12">
        <f>G574/((F574/100)*(F574/100))</f>
      </c>
      <c r="I574" s="11">
        <f>IF(H574&lt;25,0,IF(H574&lt;30,1,2))</f>
      </c>
      <c r="J574" s="18" t="s">
        <v>246</v>
      </c>
      <c r="K574" s="17" t="s">
        <v>237</v>
      </c>
      <c r="L574" s="17" t="s">
        <v>238</v>
      </c>
      <c r="M574" s="17" t="s">
        <v>37</v>
      </c>
      <c r="N574" s="17" t="s">
        <v>38</v>
      </c>
      <c r="O574" s="17" t="s">
        <v>239</v>
      </c>
      <c r="P574" s="17" t="s">
        <v>196</v>
      </c>
      <c r="Q574" s="10">
        <f>IF(P574="None of the above",0,2)</f>
      </c>
      <c r="R574" s="17" t="s">
        <v>41</v>
      </c>
      <c r="S574" s="17" t="s">
        <v>42</v>
      </c>
      <c r="T574" s="17" t="s">
        <v>43</v>
      </c>
      <c r="U574" s="10">
        <f>IF(T574="Heavy physical",0,IF(T574="Moderate activity",1,2))</f>
      </c>
      <c r="V574" s="18" t="s">
        <v>69</v>
      </c>
      <c r="W574" s="10">
        <f>IF(V574="7–8 hours",0,IF(V574="6–7 hours",1,2))</f>
      </c>
      <c r="X574" s="17" t="s">
        <v>45</v>
      </c>
      <c r="Y574" s="17" t="s">
        <v>75</v>
      </c>
      <c r="Z574" s="17" t="s">
        <v>45</v>
      </c>
      <c r="AA574" s="17" t="s">
        <v>42</v>
      </c>
      <c r="AB574" s="17" t="s">
        <v>42</v>
      </c>
      <c r="AC574" s="17" t="s">
        <v>245</v>
      </c>
      <c r="AD574" s="10">
        <f>I574 + Q574 + U574 + W574</f>
      </c>
      <c r="AE574" s="10">
        <f>IF(AD574&lt;=2,0,IF(AD574&lt;=5,1,2))</f>
      </c>
      <c r="AF574" s="7"/>
    </row>
    <row x14ac:dyDescent="0.25" r="575" customHeight="1" ht="18">
      <c r="A575" s="17" t="s">
        <v>268</v>
      </c>
      <c r="B575" s="17" t="s">
        <v>241</v>
      </c>
      <c r="C575" s="17" t="s">
        <v>308</v>
      </c>
      <c r="D575" s="18" t="s">
        <v>242</v>
      </c>
      <c r="E575" s="17" t="s">
        <v>34</v>
      </c>
      <c r="F575" s="19">
        <v>155</v>
      </c>
      <c r="G575" s="20">
        <v>60</v>
      </c>
      <c r="H575" s="12">
        <f>G575/((F575/100)*(F575/100))</f>
      </c>
      <c r="I575" s="11">
        <f>IF(H575&lt;25,0,IF(H575&lt;30,1,2))</f>
      </c>
      <c r="J575" s="18" t="s">
        <v>236</v>
      </c>
      <c r="K575" s="17" t="s">
        <v>237</v>
      </c>
      <c r="L575" s="17" t="s">
        <v>124</v>
      </c>
      <c r="M575" s="17" t="s">
        <v>185</v>
      </c>
      <c r="N575" s="17" t="s">
        <v>38</v>
      </c>
      <c r="O575" s="17" t="s">
        <v>239</v>
      </c>
      <c r="P575" s="17" t="s">
        <v>196</v>
      </c>
      <c r="Q575" s="10">
        <f>IF(P575="None of the above",0,2)</f>
      </c>
      <c r="R575" s="17" t="s">
        <v>56</v>
      </c>
      <c r="S575" s="17" t="s">
        <v>42</v>
      </c>
      <c r="T575" s="17" t="s">
        <v>96</v>
      </c>
      <c r="U575" s="10">
        <f>IF(T575="Heavy physical",0,IF(T575="Moderate activity",1,2))</f>
      </c>
      <c r="V575" s="18" t="s">
        <v>57</v>
      </c>
      <c r="W575" s="10">
        <f>IF(V575="7–8 hours",0,IF(V575="6–7 hours",1,2))</f>
      </c>
      <c r="X575" s="17" t="s">
        <v>45</v>
      </c>
      <c r="Y575" s="17" t="s">
        <v>46</v>
      </c>
      <c r="Z575" s="17" t="s">
        <v>45</v>
      </c>
      <c r="AA575" s="17" t="s">
        <v>42</v>
      </c>
      <c r="AB575" s="17" t="s">
        <v>42</v>
      </c>
      <c r="AC575" s="17" t="s">
        <v>247</v>
      </c>
      <c r="AD575" s="10">
        <f>I575 + Q575 + U575 + W575</f>
      </c>
      <c r="AE575" s="10">
        <f>IF(AD575&lt;=2,0,IF(AD575&lt;=5,1,2))</f>
      </c>
      <c r="AF575" s="7"/>
    </row>
    <row x14ac:dyDescent="0.25" r="576" customHeight="1" ht="17.25">
      <c r="A576" s="17" t="s">
        <v>251</v>
      </c>
      <c r="B576" s="17" t="s">
        <v>252</v>
      </c>
      <c r="C576" s="17" t="s">
        <v>141</v>
      </c>
      <c r="D576" s="18" t="s">
        <v>274</v>
      </c>
      <c r="E576" s="17" t="s">
        <v>34</v>
      </c>
      <c r="F576" s="19">
        <v>155</v>
      </c>
      <c r="G576" s="20">
        <v>55</v>
      </c>
      <c r="H576" s="12">
        <f>G576/((F576/100)*(F576/100))</f>
      </c>
      <c r="I576" s="11">
        <f>IF(H576&lt;25,0,IF(H576&lt;30,1,2))</f>
      </c>
      <c r="J576" s="18" t="s">
        <v>263</v>
      </c>
      <c r="K576" s="17" t="s">
        <v>237</v>
      </c>
      <c r="L576" s="17" t="s">
        <v>250</v>
      </c>
      <c r="M576" s="17" t="s">
        <v>37</v>
      </c>
      <c r="N576" s="17" t="s">
        <v>38</v>
      </c>
      <c r="O576" s="17" t="s">
        <v>258</v>
      </c>
      <c r="P576" s="17" t="s">
        <v>196</v>
      </c>
      <c r="Q576" s="10">
        <f>IF(P576="None of the above",0,2)</f>
      </c>
      <c r="R576" s="17" t="s">
        <v>56</v>
      </c>
      <c r="S576" s="17" t="s">
        <v>42</v>
      </c>
      <c r="T576" s="17" t="s">
        <v>43</v>
      </c>
      <c r="U576" s="10">
        <f>IF(T576="Heavy physical",0,IF(T576="Moderate activity",1,2))</f>
      </c>
      <c r="V576" s="18" t="s">
        <v>69</v>
      </c>
      <c r="W576" s="10">
        <f>IF(V576="7–8 hours",0,IF(V576="6–7 hours",1,2))</f>
      </c>
      <c r="X576" s="17" t="s">
        <v>45</v>
      </c>
      <c r="Y576" s="17" t="s">
        <v>46</v>
      </c>
      <c r="Z576" s="17" t="s">
        <v>45</v>
      </c>
      <c r="AA576" s="17" t="s">
        <v>42</v>
      </c>
      <c r="AB576" s="17" t="s">
        <v>42</v>
      </c>
      <c r="AC576" s="17" t="s">
        <v>247</v>
      </c>
      <c r="AD576" s="10">
        <f>I576 + Q576 + U576 + W576</f>
      </c>
      <c r="AE576" s="10">
        <f>IF(AD576&lt;=2,0,IF(AD576&lt;=5,1,2))</f>
      </c>
      <c r="AF576" s="7"/>
    </row>
    <row x14ac:dyDescent="0.25" r="577" customHeight="1" ht="17.25">
      <c r="A577" s="17" t="s">
        <v>251</v>
      </c>
      <c r="B577" s="17" t="s">
        <v>241</v>
      </c>
      <c r="C577" s="17" t="s">
        <v>122</v>
      </c>
      <c r="D577" s="18" t="s">
        <v>242</v>
      </c>
      <c r="E577" s="17" t="s">
        <v>51</v>
      </c>
      <c r="F577" s="19">
        <v>128</v>
      </c>
      <c r="G577" s="20">
        <v>76</v>
      </c>
      <c r="H577" s="12">
        <f>G577/((F577/100)*(F577/100))</f>
      </c>
      <c r="I577" s="11">
        <f>IF(H577&lt;25,0,IF(H577&lt;30,1,2))</f>
      </c>
      <c r="J577" s="18" t="s">
        <v>246</v>
      </c>
      <c r="K577" s="17" t="s">
        <v>237</v>
      </c>
      <c r="L577" s="17" t="s">
        <v>309</v>
      </c>
      <c r="M577" s="17" t="s">
        <v>37</v>
      </c>
      <c r="N577" s="17" t="s">
        <v>179</v>
      </c>
      <c r="O577" s="17" t="s">
        <v>272</v>
      </c>
      <c r="P577" s="17" t="s">
        <v>196</v>
      </c>
      <c r="Q577" s="10">
        <f>IF(P577="None of the above",0,2)</f>
      </c>
      <c r="R577" s="17" t="s">
        <v>41</v>
      </c>
      <c r="S577" s="17" t="s">
        <v>42</v>
      </c>
      <c r="T577" s="17" t="s">
        <v>82</v>
      </c>
      <c r="U577" s="10">
        <f>IF(T577="Heavy physical",0,IF(T577="Moderate activity",1,2))</f>
      </c>
      <c r="V577" s="18" t="s">
        <v>69</v>
      </c>
      <c r="W577" s="10">
        <f>IF(V577="7–8 hours",0,IF(V577="6–7 hours",1,2))</f>
      </c>
      <c r="X577" s="17" t="s">
        <v>45</v>
      </c>
      <c r="Y577" s="17" t="s">
        <v>75</v>
      </c>
      <c r="Z577" s="17" t="s">
        <v>65</v>
      </c>
      <c r="AA577" s="17" t="s">
        <v>42</v>
      </c>
      <c r="AB577" s="17" t="s">
        <v>42</v>
      </c>
      <c r="AC577" s="17" t="s">
        <v>245</v>
      </c>
      <c r="AD577" s="10">
        <f>I577 + Q577 + U577 + W577</f>
      </c>
      <c r="AE577" s="10">
        <f>IF(AD577&lt;=2,0,IF(AD577&lt;=5,1,2))</f>
      </c>
      <c r="AF577" s="7"/>
    </row>
    <row x14ac:dyDescent="0.25" r="578" customHeight="1" ht="17.25">
      <c r="A578" s="17" t="s">
        <v>251</v>
      </c>
      <c r="B578" s="17" t="s">
        <v>252</v>
      </c>
      <c r="C578" s="17" t="s">
        <v>50</v>
      </c>
      <c r="D578" s="18" t="s">
        <v>274</v>
      </c>
      <c r="E578" s="17" t="s">
        <v>34</v>
      </c>
      <c r="F578" s="19">
        <v>151</v>
      </c>
      <c r="G578" s="20">
        <v>53</v>
      </c>
      <c r="H578" s="12">
        <f>G578/((F578/100)*(F578/100))</f>
      </c>
      <c r="I578" s="11">
        <f>IF(H578&lt;25,0,IF(H578&lt;30,1,2))</f>
      </c>
      <c r="J578" s="18" t="s">
        <v>246</v>
      </c>
      <c r="K578" s="17" t="s">
        <v>237</v>
      </c>
      <c r="L578" s="17" t="s">
        <v>310</v>
      </c>
      <c r="M578" s="17" t="s">
        <v>37</v>
      </c>
      <c r="N578" s="17" t="s">
        <v>38</v>
      </c>
      <c r="O578" s="17" t="s">
        <v>239</v>
      </c>
      <c r="P578" s="17" t="s">
        <v>196</v>
      </c>
      <c r="Q578" s="10">
        <f>IF(P578="None of the above",0,2)</f>
      </c>
      <c r="R578" s="17" t="s">
        <v>41</v>
      </c>
      <c r="S578" s="17" t="s">
        <v>42</v>
      </c>
      <c r="T578" s="17" t="s">
        <v>43</v>
      </c>
      <c r="U578" s="10">
        <f>IF(T578="Heavy physical",0,IF(T578="Moderate activity",1,2))</f>
      </c>
      <c r="V578" s="18" t="s">
        <v>44</v>
      </c>
      <c r="W578" s="10">
        <f>IF(V578="7–8 hours",0,IF(V578="6–7 hours",1,2))</f>
      </c>
      <c r="X578" s="17" t="s">
        <v>45</v>
      </c>
      <c r="Y578" s="17" t="s">
        <v>75</v>
      </c>
      <c r="Z578" s="17" t="s">
        <v>45</v>
      </c>
      <c r="AA578" s="17" t="s">
        <v>42</v>
      </c>
      <c r="AB578" s="17" t="s">
        <v>42</v>
      </c>
      <c r="AC578" s="17" t="s">
        <v>247</v>
      </c>
      <c r="AD578" s="10">
        <f>I578 + Q578 + U578 + W578</f>
      </c>
      <c r="AE578" s="10">
        <f>IF(AD578&lt;=2,0,IF(AD578&lt;=5,1,2))</f>
      </c>
      <c r="AF578" s="7"/>
    </row>
    <row x14ac:dyDescent="0.25" r="579" customHeight="1" ht="17.25">
      <c r="A579" s="17" t="s">
        <v>251</v>
      </c>
      <c r="B579" s="17" t="s">
        <v>252</v>
      </c>
      <c r="C579" s="17" t="s">
        <v>33</v>
      </c>
      <c r="D579" s="18" t="s">
        <v>242</v>
      </c>
      <c r="E579" s="17" t="s">
        <v>51</v>
      </c>
      <c r="F579" s="19">
        <v>155</v>
      </c>
      <c r="G579" s="20">
        <v>48</v>
      </c>
      <c r="H579" s="12">
        <f>G579/((F579/100)*(F579/100))</f>
      </c>
      <c r="I579" s="11">
        <f>IF(H579&lt;25,0,IF(H579&lt;30,1,2))</f>
      </c>
      <c r="J579" s="18" t="s">
        <v>246</v>
      </c>
      <c r="K579" s="17" t="s">
        <v>237</v>
      </c>
      <c r="L579" s="17" t="s">
        <v>152</v>
      </c>
      <c r="M579" s="17" t="s">
        <v>37</v>
      </c>
      <c r="N579" s="17" t="s">
        <v>201</v>
      </c>
      <c r="O579" s="17" t="s">
        <v>239</v>
      </c>
      <c r="P579" s="17" t="s">
        <v>196</v>
      </c>
      <c r="Q579" s="10">
        <f>IF(P579="None of the above",0,2)</f>
      </c>
      <c r="R579" s="17" t="s">
        <v>41</v>
      </c>
      <c r="S579" s="17" t="s">
        <v>42</v>
      </c>
      <c r="T579" s="17" t="s">
        <v>99</v>
      </c>
      <c r="U579" s="10">
        <f>IF(T579="Heavy physical",0,IF(T579="Moderate activity",1,2))</f>
      </c>
      <c r="V579" s="18" t="s">
        <v>57</v>
      </c>
      <c r="W579" s="10">
        <f>IF(V579="7–8 hours",0,IF(V579="6–7 hours",1,2))</f>
      </c>
      <c r="X579" s="17" t="s">
        <v>45</v>
      </c>
      <c r="Y579" s="17" t="s">
        <v>244</v>
      </c>
      <c r="Z579" s="17" t="s">
        <v>45</v>
      </c>
      <c r="AA579" s="17" t="s">
        <v>42</v>
      </c>
      <c r="AB579" s="17" t="s">
        <v>42</v>
      </c>
      <c r="AC579" s="17" t="s">
        <v>245</v>
      </c>
      <c r="AD579" s="10">
        <f>I579 + Q579 + U579 + W579</f>
      </c>
      <c r="AE579" s="10">
        <f>IF(AD579&lt;=2,0,IF(AD579&lt;=5,1,2))</f>
      </c>
      <c r="AF579" s="7"/>
    </row>
    <row x14ac:dyDescent="0.25" r="580" customHeight="1" ht="17.25" hidden="1">
      <c r="A580" s="17" t="s">
        <v>251</v>
      </c>
      <c r="B580" s="17" t="s">
        <v>252</v>
      </c>
      <c r="C580" s="17" t="s">
        <v>33</v>
      </c>
      <c r="D580" s="18" t="s">
        <v>242</v>
      </c>
      <c r="E580" s="17" t="s">
        <v>34</v>
      </c>
      <c r="F580" s="19">
        <v>145</v>
      </c>
      <c r="G580" s="20">
        <v>50</v>
      </c>
      <c r="H580" s="12">
        <f>G580/((F580/100)*(F580/100))</f>
      </c>
      <c r="I580" s="11">
        <f>IF(H580&lt;25,0,IF(H580&lt;30,1,2))</f>
      </c>
      <c r="J580" s="18" t="s">
        <v>246</v>
      </c>
      <c r="K580" s="17" t="s">
        <v>237</v>
      </c>
      <c r="L580" s="17" t="s">
        <v>311</v>
      </c>
      <c r="M580" s="17" t="s">
        <v>185</v>
      </c>
      <c r="N580" s="17" t="s">
        <v>201</v>
      </c>
      <c r="O580" s="17" t="s">
        <v>239</v>
      </c>
      <c r="P580" s="17" t="s">
        <v>81</v>
      </c>
      <c r="Q580" s="10">
        <f>IF(P580="None of the above",0,2)</f>
      </c>
      <c r="R580" s="17" t="s">
        <v>56</v>
      </c>
      <c r="S580" s="17" t="s">
        <v>48</v>
      </c>
      <c r="T580" s="17" t="s">
        <v>43</v>
      </c>
      <c r="U580" s="10">
        <f>IF(T580="Heavy physical",0,IF(T580="Moderate activity",1,2))</f>
      </c>
      <c r="V580" s="18" t="s">
        <v>44</v>
      </c>
      <c r="W580" s="10">
        <f>IF(V580="7–8 hours",0,IF(V580="6–7 hours",1,2))</f>
      </c>
      <c r="X580" s="17" t="s">
        <v>45</v>
      </c>
      <c r="Y580" s="17" t="s">
        <v>75</v>
      </c>
      <c r="Z580" s="17" t="s">
        <v>45</v>
      </c>
      <c r="AA580" s="17" t="s">
        <v>42</v>
      </c>
      <c r="AB580" s="17" t="s">
        <v>42</v>
      </c>
      <c r="AC580" s="17" t="s">
        <v>240</v>
      </c>
      <c r="AD580" s="10">
        <f>I580 + Q580 + U580 + W580</f>
      </c>
      <c r="AE580" s="10">
        <f>IF(AD580&lt;=2,0,IF(AD580&lt;=5,1,2))</f>
      </c>
      <c r="AF580" s="7"/>
    </row>
    <row x14ac:dyDescent="0.25" r="581" customHeight="1" ht="17.25" hidden="1">
      <c r="A581" s="17" t="s">
        <v>130</v>
      </c>
      <c r="B581" s="17" t="s">
        <v>241</v>
      </c>
      <c r="C581" s="17" t="s">
        <v>234</v>
      </c>
      <c r="D581" s="18" t="s">
        <v>249</v>
      </c>
      <c r="E581" s="17" t="s">
        <v>34</v>
      </c>
      <c r="F581" s="19">
        <v>152</v>
      </c>
      <c r="G581" s="20">
        <v>53</v>
      </c>
      <c r="H581" s="12">
        <f>G581/((F581/100)*(F581/100))</f>
      </c>
      <c r="I581" s="11">
        <f>IF(H581&lt;25,0,IF(H581&lt;30,1,2))</f>
      </c>
      <c r="J581" s="18" t="s">
        <v>246</v>
      </c>
      <c r="K581" s="17" t="s">
        <v>237</v>
      </c>
      <c r="L581" s="17" t="s">
        <v>243</v>
      </c>
      <c r="M581" s="17" t="s">
        <v>37</v>
      </c>
      <c r="N581" s="17" t="s">
        <v>38</v>
      </c>
      <c r="O581" s="17" t="s">
        <v>239</v>
      </c>
      <c r="P581" s="17" t="s">
        <v>132</v>
      </c>
      <c r="Q581" s="10">
        <f>IF(P581="None of the above",0,2)</f>
      </c>
      <c r="R581" s="17" t="s">
        <v>89</v>
      </c>
      <c r="S581" s="17" t="s">
        <v>42</v>
      </c>
      <c r="T581" s="17" t="s">
        <v>312</v>
      </c>
      <c r="U581" s="10">
        <f>IF(T581="Heavy physical",0,IF(T581="Moderate activity",1,2))</f>
      </c>
      <c r="V581" s="18" t="s">
        <v>44</v>
      </c>
      <c r="W581" s="10">
        <f>IF(V581="7–8 hours",0,IF(V581="6–7 hours",1,2))</f>
      </c>
      <c r="X581" s="17" t="s">
        <v>45</v>
      </c>
      <c r="Y581" s="17" t="s">
        <v>244</v>
      </c>
      <c r="Z581" s="17" t="s">
        <v>45</v>
      </c>
      <c r="AA581" s="17" t="s">
        <v>42</v>
      </c>
      <c r="AB581" s="17" t="s">
        <v>42</v>
      </c>
      <c r="AC581" s="17" t="s">
        <v>245</v>
      </c>
      <c r="AD581" s="10">
        <f>I581 + Q581 + U581 + W581</f>
      </c>
      <c r="AE581" s="10">
        <f>IF(AD581&lt;=2,0,IF(AD581&lt;=5,1,2))</f>
      </c>
      <c r="AF581" s="7"/>
    </row>
    <row x14ac:dyDescent="0.25" r="582" customHeight="1" ht="17.25" hidden="1">
      <c r="A582" s="17" t="s">
        <v>251</v>
      </c>
      <c r="B582" s="17" t="s">
        <v>241</v>
      </c>
      <c r="C582" s="17" t="s">
        <v>33</v>
      </c>
      <c r="D582" s="18" t="s">
        <v>274</v>
      </c>
      <c r="E582" s="17" t="s">
        <v>34</v>
      </c>
      <c r="F582" s="19">
        <v>158</v>
      </c>
      <c r="G582" s="20">
        <v>56</v>
      </c>
      <c r="H582" s="12">
        <f>G582/((F582/100)*(F582/100))</f>
      </c>
      <c r="I582" s="11">
        <f>IF(H582&lt;25,0,IF(H582&lt;30,1,2))</f>
      </c>
      <c r="J582" s="18" t="s">
        <v>236</v>
      </c>
      <c r="K582" s="17" t="s">
        <v>237</v>
      </c>
      <c r="L582" s="17" t="s">
        <v>270</v>
      </c>
      <c r="M582" s="17" t="s">
        <v>54</v>
      </c>
      <c r="N582" s="17" t="s">
        <v>118</v>
      </c>
      <c r="O582" s="17" t="s">
        <v>272</v>
      </c>
      <c r="P582" s="17" t="s">
        <v>81</v>
      </c>
      <c r="Q582" s="10">
        <f>IF(P582="None of the above",0,2)</f>
      </c>
      <c r="R582" s="17" t="s">
        <v>56</v>
      </c>
      <c r="S582" s="17" t="s">
        <v>48</v>
      </c>
      <c r="T582" s="17" t="s">
        <v>43</v>
      </c>
      <c r="U582" s="10">
        <f>IF(T582="Heavy physical",0,IF(T582="Moderate activity",1,2))</f>
      </c>
      <c r="V582" s="18" t="s">
        <v>57</v>
      </c>
      <c r="W582" s="10">
        <f>IF(V582="7–8 hours",0,IF(V582="6–7 hours",1,2))</f>
      </c>
      <c r="X582" s="17" t="s">
        <v>45</v>
      </c>
      <c r="Y582" s="17" t="s">
        <v>46</v>
      </c>
      <c r="Z582" s="17" t="s">
        <v>65</v>
      </c>
      <c r="AA582" s="17" t="s">
        <v>42</v>
      </c>
      <c r="AB582" s="17" t="s">
        <v>42</v>
      </c>
      <c r="AC582" s="17" t="s">
        <v>240</v>
      </c>
      <c r="AD582" s="10">
        <f>I582 + Q582 + U582 + W582</f>
      </c>
      <c r="AE582" s="10">
        <f>IF(AD582&lt;=2,0,IF(AD582&lt;=5,1,2))</f>
      </c>
      <c r="AF582" s="7"/>
    </row>
    <row x14ac:dyDescent="0.25" r="583" customHeight="1" ht="17.25" hidden="1">
      <c r="A583" s="17" t="s">
        <v>251</v>
      </c>
      <c r="B583" s="17" t="s">
        <v>233</v>
      </c>
      <c r="C583" s="17" t="s">
        <v>126</v>
      </c>
      <c r="D583" s="18" t="s">
        <v>242</v>
      </c>
      <c r="E583" s="17" t="s">
        <v>34</v>
      </c>
      <c r="F583" s="21">
        <v>157.48</v>
      </c>
      <c r="G583" s="20">
        <v>45</v>
      </c>
      <c r="H583" s="12">
        <f>G583/((F583/100)*(F583/100))</f>
      </c>
      <c r="I583" s="11">
        <f>IF(H583&lt;25,0,IF(H583&lt;30,1,2))</f>
      </c>
      <c r="J583" s="18" t="s">
        <v>263</v>
      </c>
      <c r="K583" s="17" t="s">
        <v>237</v>
      </c>
      <c r="L583" s="17" t="s">
        <v>243</v>
      </c>
      <c r="M583" s="17" t="s">
        <v>37</v>
      </c>
      <c r="N583" s="17" t="s">
        <v>179</v>
      </c>
      <c r="O583" s="17" t="s">
        <v>239</v>
      </c>
      <c r="P583" s="17" t="s">
        <v>81</v>
      </c>
      <c r="Q583" s="10">
        <f>IF(P583="None of the above",0,2)</f>
      </c>
      <c r="R583" s="17" t="s">
        <v>56</v>
      </c>
      <c r="S583" s="17" t="s">
        <v>48</v>
      </c>
      <c r="T583" s="17" t="s">
        <v>43</v>
      </c>
      <c r="U583" s="10">
        <f>IF(T583="Heavy physical",0,IF(T583="Moderate activity",1,2))</f>
      </c>
      <c r="V583" s="18" t="s">
        <v>57</v>
      </c>
      <c r="W583" s="10">
        <f>IF(V583="7–8 hours",0,IF(V583="6–7 hours",1,2))</f>
      </c>
      <c r="X583" s="17" t="s">
        <v>45</v>
      </c>
      <c r="Y583" s="17" t="s">
        <v>244</v>
      </c>
      <c r="Z583" s="17" t="s">
        <v>45</v>
      </c>
      <c r="AA583" s="17" t="s">
        <v>42</v>
      </c>
      <c r="AB583" s="17" t="s">
        <v>42</v>
      </c>
      <c r="AC583" s="17" t="s">
        <v>240</v>
      </c>
      <c r="AD583" s="10">
        <f>I583 + Q583 + U583 + W583</f>
      </c>
      <c r="AE583" s="10">
        <f>IF(AD583&lt;=2,0,IF(AD583&lt;=5,1,2))</f>
      </c>
      <c r="AF583" s="7"/>
    </row>
    <row x14ac:dyDescent="0.25" r="584" customHeight="1" ht="17.25" hidden="1">
      <c r="A584" s="17" t="s">
        <v>251</v>
      </c>
      <c r="B584" s="17" t="s">
        <v>252</v>
      </c>
      <c r="C584" s="17" t="s">
        <v>33</v>
      </c>
      <c r="D584" s="18" t="s">
        <v>242</v>
      </c>
      <c r="E584" s="17" t="s">
        <v>34</v>
      </c>
      <c r="F584" s="19">
        <v>155</v>
      </c>
      <c r="G584" s="20">
        <v>45</v>
      </c>
      <c r="H584" s="12">
        <f>G584/((F584/100)*(F584/100))</f>
      </c>
      <c r="I584" s="11">
        <f>IF(H584&lt;25,0,IF(H584&lt;30,1,2))</f>
      </c>
      <c r="J584" s="18" t="s">
        <v>246</v>
      </c>
      <c r="K584" s="17" t="s">
        <v>237</v>
      </c>
      <c r="L584" s="17" t="s">
        <v>262</v>
      </c>
      <c r="M584" s="17" t="s">
        <v>185</v>
      </c>
      <c r="N584" s="17" t="s">
        <v>179</v>
      </c>
      <c r="O584" s="17" t="s">
        <v>258</v>
      </c>
      <c r="P584" s="17" t="s">
        <v>81</v>
      </c>
      <c r="Q584" s="10">
        <f>IF(P584="None of the above",0,2)</f>
      </c>
      <c r="R584" s="17" t="s">
        <v>56</v>
      </c>
      <c r="S584" s="17" t="s">
        <v>42</v>
      </c>
      <c r="T584" s="17" t="s">
        <v>96</v>
      </c>
      <c r="U584" s="10">
        <f>IF(T584="Heavy physical",0,IF(T584="Moderate activity",1,2))</f>
      </c>
      <c r="V584" s="18" t="s">
        <v>57</v>
      </c>
      <c r="W584" s="10">
        <f>IF(V584="7–8 hours",0,IF(V584="6–7 hours",1,2))</f>
      </c>
      <c r="X584" s="17" t="s">
        <v>45</v>
      </c>
      <c r="Y584" s="17" t="s">
        <v>75</v>
      </c>
      <c r="Z584" s="17" t="s">
        <v>313</v>
      </c>
      <c r="AA584" s="17" t="s">
        <v>42</v>
      </c>
      <c r="AB584" s="17" t="s">
        <v>42</v>
      </c>
      <c r="AC584" s="17" t="s">
        <v>240</v>
      </c>
      <c r="AD584" s="10">
        <f>I584 + Q584 + U584 + W584</f>
      </c>
      <c r="AE584" s="10">
        <f>IF(AD584&lt;=2,0,IF(AD584&lt;=5,1,2))</f>
      </c>
      <c r="AF584" s="7"/>
    </row>
    <row x14ac:dyDescent="0.25" r="585" customHeight="1" ht="17.25" hidden="1">
      <c r="A585" s="17" t="s">
        <v>251</v>
      </c>
      <c r="B585" s="17" t="s">
        <v>233</v>
      </c>
      <c r="C585" s="17" t="s">
        <v>126</v>
      </c>
      <c r="D585" s="18" t="s">
        <v>242</v>
      </c>
      <c r="E585" s="17" t="s">
        <v>51</v>
      </c>
      <c r="F585" s="19">
        <v>180</v>
      </c>
      <c r="G585" s="20">
        <v>70</v>
      </c>
      <c r="H585" s="12">
        <f>G585/((F585/100)*(F585/100))</f>
      </c>
      <c r="I585" s="11">
        <f>IF(H585&lt;25,0,IF(H585&lt;30,1,2))</f>
      </c>
      <c r="J585" s="18" t="s">
        <v>246</v>
      </c>
      <c r="K585" s="17" t="s">
        <v>237</v>
      </c>
      <c r="L585" s="17" t="s">
        <v>314</v>
      </c>
      <c r="M585" s="17" t="s">
        <v>37</v>
      </c>
      <c r="N585" s="17" t="s">
        <v>38</v>
      </c>
      <c r="O585" s="17" t="s">
        <v>272</v>
      </c>
      <c r="P585" s="17" t="s">
        <v>81</v>
      </c>
      <c r="Q585" s="10">
        <f>IF(P585="None of the above",0,2)</f>
      </c>
      <c r="R585" s="17" t="s">
        <v>41</v>
      </c>
      <c r="S585" s="17" t="s">
        <v>42</v>
      </c>
      <c r="T585" s="17" t="s">
        <v>96</v>
      </c>
      <c r="U585" s="10">
        <f>IF(T585="Heavy physical",0,IF(T585="Moderate activity",1,2))</f>
      </c>
      <c r="V585" s="18" t="s">
        <v>57</v>
      </c>
      <c r="W585" s="10">
        <f>IF(V585="7–8 hours",0,IF(V585="6–7 hours",1,2))</f>
      </c>
      <c r="X585" s="17" t="s">
        <v>83</v>
      </c>
      <c r="Y585" s="17" t="s">
        <v>244</v>
      </c>
      <c r="Z585" s="17" t="s">
        <v>45</v>
      </c>
      <c r="AA585" s="17" t="s">
        <v>42</v>
      </c>
      <c r="AB585" s="17" t="s">
        <v>42</v>
      </c>
      <c r="AC585" s="17" t="s">
        <v>245</v>
      </c>
      <c r="AD585" s="10">
        <f>I585 + Q585 + U585 + W585</f>
      </c>
      <c r="AE585" s="10">
        <f>IF(AD585&lt;=2,0,IF(AD585&lt;=5,1,2))</f>
      </c>
      <c r="AF585" s="7"/>
    </row>
    <row x14ac:dyDescent="0.25" r="586" customHeight="1" ht="17.25">
      <c r="A586" s="17" t="s">
        <v>251</v>
      </c>
      <c r="B586" s="17" t="s">
        <v>241</v>
      </c>
      <c r="C586" s="17" t="s">
        <v>33</v>
      </c>
      <c r="D586" s="18" t="s">
        <v>242</v>
      </c>
      <c r="E586" s="17" t="s">
        <v>34</v>
      </c>
      <c r="F586" s="19">
        <v>165</v>
      </c>
      <c r="G586" s="20">
        <v>46</v>
      </c>
      <c r="H586" s="12">
        <f>G586/((F586/100)*(F586/100))</f>
      </c>
      <c r="I586" s="11">
        <f>IF(H586&lt;25,0,IF(H586&lt;30,1,2))</f>
      </c>
      <c r="J586" s="18" t="s">
        <v>246</v>
      </c>
      <c r="K586" s="17" t="s">
        <v>237</v>
      </c>
      <c r="L586" s="17" t="s">
        <v>315</v>
      </c>
      <c r="M586" s="17" t="s">
        <v>185</v>
      </c>
      <c r="N586" s="17" t="s">
        <v>201</v>
      </c>
      <c r="O586" s="17" t="s">
        <v>239</v>
      </c>
      <c r="P586" s="17" t="s">
        <v>196</v>
      </c>
      <c r="Q586" s="10">
        <f>IF(P586="None of the above",0,2)</f>
      </c>
      <c r="R586" s="17" t="s">
        <v>56</v>
      </c>
      <c r="S586" s="17" t="s">
        <v>42</v>
      </c>
      <c r="T586" s="17" t="s">
        <v>43</v>
      </c>
      <c r="U586" s="10">
        <f>IF(T586="Heavy physical",0,IF(T586="Moderate activity",1,2))</f>
      </c>
      <c r="V586" s="18" t="s">
        <v>57</v>
      </c>
      <c r="W586" s="10">
        <f>IF(V586="7–8 hours",0,IF(V586="6–7 hours",1,2))</f>
      </c>
      <c r="X586" s="17" t="s">
        <v>45</v>
      </c>
      <c r="Y586" s="17" t="s">
        <v>75</v>
      </c>
      <c r="Z586" s="17" t="s">
        <v>45</v>
      </c>
      <c r="AA586" s="17" t="s">
        <v>42</v>
      </c>
      <c r="AB586" s="17" t="s">
        <v>42</v>
      </c>
      <c r="AC586" s="17" t="s">
        <v>247</v>
      </c>
      <c r="AD586" s="10">
        <f>I586 + Q586 + U586 + W586</f>
      </c>
      <c r="AE586" s="10">
        <f>IF(AD586&lt;=2,0,IF(AD586&lt;=5,1,2))</f>
      </c>
      <c r="AF586" s="7"/>
    </row>
    <row x14ac:dyDescent="0.25" r="587" customHeight="1" ht="17.25">
      <c r="A587" s="17" t="s">
        <v>251</v>
      </c>
      <c r="B587" s="17" t="s">
        <v>241</v>
      </c>
      <c r="C587" s="17" t="s">
        <v>234</v>
      </c>
      <c r="D587" s="18" t="s">
        <v>274</v>
      </c>
      <c r="E587" s="17" t="s">
        <v>34</v>
      </c>
      <c r="F587" s="19">
        <v>168</v>
      </c>
      <c r="G587" s="20">
        <v>64</v>
      </c>
      <c r="H587" s="12">
        <f>G587/((F587/100)*(F587/100))</f>
      </c>
      <c r="I587" s="11">
        <f>IF(H587&lt;25,0,IF(H587&lt;30,1,2))</f>
      </c>
      <c r="J587" s="18" t="s">
        <v>246</v>
      </c>
      <c r="K587" s="17" t="s">
        <v>237</v>
      </c>
      <c r="L587" s="17" t="s">
        <v>36</v>
      </c>
      <c r="M587" s="17" t="s">
        <v>37</v>
      </c>
      <c r="N587" s="17" t="s">
        <v>179</v>
      </c>
      <c r="O587" s="17" t="s">
        <v>239</v>
      </c>
      <c r="P587" s="17" t="s">
        <v>196</v>
      </c>
      <c r="Q587" s="10">
        <f>IF(P587="None of the above",0,2)</f>
      </c>
      <c r="R587" s="17" t="s">
        <v>56</v>
      </c>
      <c r="S587" s="17" t="s">
        <v>42</v>
      </c>
      <c r="T587" s="17" t="s">
        <v>43</v>
      </c>
      <c r="U587" s="10">
        <f>IF(T587="Heavy physical",0,IF(T587="Moderate activity",1,2))</f>
      </c>
      <c r="V587" s="18" t="s">
        <v>57</v>
      </c>
      <c r="W587" s="10">
        <f>IF(V587="7–8 hours",0,IF(V587="6–7 hours",1,2))</f>
      </c>
      <c r="X587" s="17" t="s">
        <v>45</v>
      </c>
      <c r="Y587" s="17" t="s">
        <v>75</v>
      </c>
      <c r="Z587" s="17" t="s">
        <v>45</v>
      </c>
      <c r="AA587" s="17" t="s">
        <v>42</v>
      </c>
      <c r="AB587" s="17" t="s">
        <v>42</v>
      </c>
      <c r="AC587" s="17" t="s">
        <v>245</v>
      </c>
      <c r="AD587" s="10">
        <f>I587 + Q587 + U587 + W587</f>
      </c>
      <c r="AE587" s="10">
        <f>IF(AD587&lt;=2,0,IF(AD587&lt;=5,1,2))</f>
      </c>
      <c r="AF587" s="7"/>
    </row>
    <row x14ac:dyDescent="0.25" r="588" customHeight="1" ht="17.25">
      <c r="A588" s="17" t="s">
        <v>251</v>
      </c>
      <c r="B588" s="17" t="s">
        <v>241</v>
      </c>
      <c r="C588" s="17" t="s">
        <v>301</v>
      </c>
      <c r="D588" s="18" t="s">
        <v>242</v>
      </c>
      <c r="E588" s="17" t="s">
        <v>34</v>
      </c>
      <c r="F588" s="19">
        <v>158</v>
      </c>
      <c r="G588" s="20">
        <v>63</v>
      </c>
      <c r="H588" s="12">
        <f>G588/((F588/100)*(F588/100))</f>
      </c>
      <c r="I588" s="11">
        <f>IF(H588&lt;25,0,IF(H588&lt;30,1,2))</f>
      </c>
      <c r="J588" s="18" t="s">
        <v>246</v>
      </c>
      <c r="K588" s="17" t="s">
        <v>237</v>
      </c>
      <c r="L588" s="17" t="s">
        <v>316</v>
      </c>
      <c r="M588" s="17" t="s">
        <v>37</v>
      </c>
      <c r="N588" s="17" t="s">
        <v>38</v>
      </c>
      <c r="O588" s="17" t="s">
        <v>258</v>
      </c>
      <c r="P588" s="17" t="s">
        <v>196</v>
      </c>
      <c r="Q588" s="10">
        <f>IF(P588="None of the above",0,2)</f>
      </c>
      <c r="R588" s="17" t="s">
        <v>56</v>
      </c>
      <c r="S588" s="17" t="s">
        <v>42</v>
      </c>
      <c r="T588" s="17" t="s">
        <v>43</v>
      </c>
      <c r="U588" s="10">
        <f>IF(T588="Heavy physical",0,IF(T588="Moderate activity",1,2))</f>
      </c>
      <c r="V588" s="18" t="s">
        <v>44</v>
      </c>
      <c r="W588" s="10">
        <f>IF(V588="7–8 hours",0,IF(V588="6–7 hours",1,2))</f>
      </c>
      <c r="X588" s="17" t="s">
        <v>45</v>
      </c>
      <c r="Y588" s="17" t="s">
        <v>46</v>
      </c>
      <c r="Z588" s="17" t="s">
        <v>45</v>
      </c>
      <c r="AA588" s="17" t="s">
        <v>42</v>
      </c>
      <c r="AB588" s="17" t="s">
        <v>42</v>
      </c>
      <c r="AC588" s="17" t="s">
        <v>247</v>
      </c>
      <c r="AD588" s="10">
        <f>I588 + Q588 + U588 + W588</f>
      </c>
      <c r="AE588" s="10">
        <f>IF(AD588&lt;=2,0,IF(AD588&lt;=5,1,2))</f>
      </c>
      <c r="AF588" s="7"/>
    </row>
    <row x14ac:dyDescent="0.25" r="589" customHeight="1" ht="17.25">
      <c r="A589" s="17" t="s">
        <v>251</v>
      </c>
      <c r="B589" s="17" t="s">
        <v>241</v>
      </c>
      <c r="C589" s="17" t="s">
        <v>126</v>
      </c>
      <c r="D589" s="18" t="s">
        <v>249</v>
      </c>
      <c r="E589" s="17" t="s">
        <v>34</v>
      </c>
      <c r="F589" s="19">
        <v>152</v>
      </c>
      <c r="G589" s="20">
        <v>57</v>
      </c>
      <c r="H589" s="12">
        <f>G589/((F589/100)*(F589/100))</f>
      </c>
      <c r="I589" s="11">
        <f>IF(H589&lt;25,0,IF(H589&lt;30,1,2))</f>
      </c>
      <c r="J589" s="18" t="s">
        <v>246</v>
      </c>
      <c r="K589" s="17" t="s">
        <v>237</v>
      </c>
      <c r="L589" s="17" t="s">
        <v>129</v>
      </c>
      <c r="M589" s="17" t="s">
        <v>37</v>
      </c>
      <c r="N589" s="17" t="s">
        <v>38</v>
      </c>
      <c r="O589" s="17" t="s">
        <v>258</v>
      </c>
      <c r="P589" s="17" t="s">
        <v>196</v>
      </c>
      <c r="Q589" s="10">
        <f>IF(P589="None of the above",0,2)</f>
      </c>
      <c r="R589" s="17" t="s">
        <v>56</v>
      </c>
      <c r="S589" s="17" t="s">
        <v>42</v>
      </c>
      <c r="T589" s="17" t="s">
        <v>43</v>
      </c>
      <c r="U589" s="10">
        <f>IF(T589="Heavy physical",0,IF(T589="Moderate activity",1,2))</f>
      </c>
      <c r="V589" s="18" t="s">
        <v>69</v>
      </c>
      <c r="W589" s="10">
        <f>IF(V589="7–8 hours",0,IF(V589="6–7 hours",1,2))</f>
      </c>
      <c r="X589" s="17" t="s">
        <v>45</v>
      </c>
      <c r="Y589" s="17" t="s">
        <v>75</v>
      </c>
      <c r="Z589" s="17" t="s">
        <v>47</v>
      </c>
      <c r="AA589" s="17" t="s">
        <v>42</v>
      </c>
      <c r="AB589" s="17" t="s">
        <v>42</v>
      </c>
      <c r="AC589" s="17" t="s">
        <v>245</v>
      </c>
      <c r="AD589" s="10">
        <f>I589 + Q589 + U589 + W589</f>
      </c>
      <c r="AE589" s="10">
        <f>IF(AD589&lt;=2,0,IF(AD589&lt;=5,1,2))</f>
      </c>
      <c r="AF589" s="7"/>
    </row>
    <row x14ac:dyDescent="0.25" r="590" customHeight="1" ht="17.25">
      <c r="A590" s="17" t="s">
        <v>251</v>
      </c>
      <c r="B590" s="17" t="s">
        <v>252</v>
      </c>
      <c r="C590" s="17" t="s">
        <v>50</v>
      </c>
      <c r="D590" s="18" t="s">
        <v>242</v>
      </c>
      <c r="E590" s="17" t="s">
        <v>34</v>
      </c>
      <c r="F590" s="19">
        <v>156</v>
      </c>
      <c r="G590" s="20">
        <v>51</v>
      </c>
      <c r="H590" s="12">
        <f>G590/((F590/100)*(F590/100))</f>
      </c>
      <c r="I590" s="11">
        <f>IF(H590&lt;25,0,IF(H590&lt;30,1,2))</f>
      </c>
      <c r="J590" s="18" t="s">
        <v>246</v>
      </c>
      <c r="K590" s="17" t="s">
        <v>237</v>
      </c>
      <c r="L590" s="17" t="s">
        <v>129</v>
      </c>
      <c r="M590" s="17" t="s">
        <v>185</v>
      </c>
      <c r="N590" s="17" t="s">
        <v>38</v>
      </c>
      <c r="O590" s="17" t="s">
        <v>239</v>
      </c>
      <c r="P590" s="17" t="s">
        <v>196</v>
      </c>
      <c r="Q590" s="10">
        <f>IF(P590="None of the above",0,2)</f>
      </c>
      <c r="R590" s="17" t="s">
        <v>56</v>
      </c>
      <c r="S590" s="17" t="s">
        <v>42</v>
      </c>
      <c r="T590" s="17" t="s">
        <v>43</v>
      </c>
      <c r="U590" s="10">
        <f>IF(T590="Heavy physical",0,IF(T590="Moderate activity",1,2))</f>
      </c>
      <c r="V590" s="18" t="s">
        <v>44</v>
      </c>
      <c r="W590" s="10">
        <f>IF(V590="7–8 hours",0,IF(V590="6–7 hours",1,2))</f>
      </c>
      <c r="X590" s="17" t="s">
        <v>45</v>
      </c>
      <c r="Y590" s="17" t="s">
        <v>75</v>
      </c>
      <c r="Z590" s="17" t="s">
        <v>65</v>
      </c>
      <c r="AA590" s="17" t="s">
        <v>42</v>
      </c>
      <c r="AB590" s="17" t="s">
        <v>42</v>
      </c>
      <c r="AC590" s="17" t="s">
        <v>247</v>
      </c>
      <c r="AD590" s="10">
        <f>I590 + Q590 + U590 + W590</f>
      </c>
      <c r="AE590" s="10">
        <f>IF(AD590&lt;=2,0,IF(AD590&lt;=5,1,2))</f>
      </c>
      <c r="AF590" s="7"/>
    </row>
    <row x14ac:dyDescent="0.25" r="591" customHeight="1" ht="17.25">
      <c r="A591" s="17" t="s">
        <v>251</v>
      </c>
      <c r="B591" s="17" t="s">
        <v>233</v>
      </c>
      <c r="C591" s="17" t="s">
        <v>301</v>
      </c>
      <c r="D591" s="18" t="s">
        <v>242</v>
      </c>
      <c r="E591" s="17" t="s">
        <v>34</v>
      </c>
      <c r="F591" s="19">
        <v>148</v>
      </c>
      <c r="G591" s="20">
        <v>48</v>
      </c>
      <c r="H591" s="12">
        <f>G591/((F591/100)*(F591/100))</f>
      </c>
      <c r="I591" s="11">
        <f>IF(H591&lt;25,0,IF(H591&lt;30,1,2))</f>
      </c>
      <c r="J591" s="18" t="s">
        <v>246</v>
      </c>
      <c r="K591" s="17" t="s">
        <v>237</v>
      </c>
      <c r="L591" s="17" t="s">
        <v>238</v>
      </c>
      <c r="M591" s="17" t="s">
        <v>37</v>
      </c>
      <c r="N591" s="17" t="s">
        <v>179</v>
      </c>
      <c r="O591" s="17" t="s">
        <v>239</v>
      </c>
      <c r="P591" s="17" t="s">
        <v>196</v>
      </c>
      <c r="Q591" s="10">
        <f>IF(P591="None of the above",0,2)</f>
      </c>
      <c r="R591" s="17" t="s">
        <v>89</v>
      </c>
      <c r="S591" s="17" t="s">
        <v>42</v>
      </c>
      <c r="T591" s="17" t="s">
        <v>43</v>
      </c>
      <c r="U591" s="10">
        <f>IF(T591="Heavy physical",0,IF(T591="Moderate activity",1,2))</f>
      </c>
      <c r="V591" s="18" t="s">
        <v>69</v>
      </c>
      <c r="W591" s="10">
        <f>IF(V591="7–8 hours",0,IF(V591="6–7 hours",1,2))</f>
      </c>
      <c r="X591" s="17" t="s">
        <v>45</v>
      </c>
      <c r="Y591" s="17" t="s">
        <v>75</v>
      </c>
      <c r="Z591" s="17" t="s">
        <v>45</v>
      </c>
      <c r="AA591" s="17" t="s">
        <v>42</v>
      </c>
      <c r="AB591" s="17" t="s">
        <v>42</v>
      </c>
      <c r="AC591" s="17" t="s">
        <v>247</v>
      </c>
      <c r="AD591" s="10">
        <f>I591 + Q591 + U591 + W591</f>
      </c>
      <c r="AE591" s="10">
        <f>IF(AD591&lt;=2,0,IF(AD591&lt;=5,1,2))</f>
      </c>
      <c r="AF591" s="7"/>
    </row>
    <row x14ac:dyDescent="0.25" r="592" customHeight="1" ht="17.25">
      <c r="A592" s="17" t="s">
        <v>251</v>
      </c>
      <c r="B592" s="17" t="s">
        <v>241</v>
      </c>
      <c r="C592" s="17" t="s">
        <v>122</v>
      </c>
      <c r="D592" s="18" t="s">
        <v>242</v>
      </c>
      <c r="E592" s="17" t="s">
        <v>51</v>
      </c>
      <c r="F592" s="19">
        <v>158</v>
      </c>
      <c r="G592" s="20">
        <v>88</v>
      </c>
      <c r="H592" s="12">
        <f>G592/((F592/100)*(F592/100))</f>
      </c>
      <c r="I592" s="11">
        <f>IF(H592&lt;25,0,IF(H592&lt;30,1,2))</f>
      </c>
      <c r="J592" s="18" t="s">
        <v>246</v>
      </c>
      <c r="K592" s="17" t="s">
        <v>317</v>
      </c>
      <c r="L592" s="17" t="s">
        <v>36</v>
      </c>
      <c r="M592" s="17" t="s">
        <v>37</v>
      </c>
      <c r="N592" s="17" t="s">
        <v>201</v>
      </c>
      <c r="O592" s="17" t="s">
        <v>239</v>
      </c>
      <c r="P592" s="17" t="s">
        <v>196</v>
      </c>
      <c r="Q592" s="10">
        <f>IF(P592="None of the above",0,2)</f>
      </c>
      <c r="R592" s="17" t="s">
        <v>56</v>
      </c>
      <c r="S592" s="17" t="s">
        <v>42</v>
      </c>
      <c r="T592" s="17" t="s">
        <v>43</v>
      </c>
      <c r="U592" s="10">
        <f>IF(T592="Heavy physical",0,IF(T592="Moderate activity",1,2))</f>
      </c>
      <c r="V592" s="18" t="s">
        <v>44</v>
      </c>
      <c r="W592" s="10">
        <f>IF(V592="7–8 hours",0,IF(V592="6–7 hours",1,2))</f>
      </c>
      <c r="X592" s="17" t="s">
        <v>83</v>
      </c>
      <c r="Y592" s="17" t="s">
        <v>46</v>
      </c>
      <c r="Z592" s="17" t="s">
        <v>303</v>
      </c>
      <c r="AA592" s="17" t="s">
        <v>42</v>
      </c>
      <c r="AB592" s="17" t="s">
        <v>42</v>
      </c>
      <c r="AC592" s="17" t="s">
        <v>245</v>
      </c>
      <c r="AD592" s="10">
        <f>I592 + Q592 + U592 + W592</f>
      </c>
      <c r="AE592" s="10">
        <f>IF(AD592&lt;=2,0,IF(AD592&lt;=5,1,2))</f>
      </c>
      <c r="AF592" s="7"/>
    </row>
    <row x14ac:dyDescent="0.25" r="593" customHeight="1" ht="17.25">
      <c r="A593" s="17" t="s">
        <v>251</v>
      </c>
      <c r="B593" s="17" t="s">
        <v>241</v>
      </c>
      <c r="C593" s="17" t="s">
        <v>33</v>
      </c>
      <c r="D593" s="18" t="s">
        <v>242</v>
      </c>
      <c r="E593" s="17" t="s">
        <v>34</v>
      </c>
      <c r="F593" s="19">
        <v>157</v>
      </c>
      <c r="G593" s="20">
        <v>45</v>
      </c>
      <c r="H593" s="12">
        <f>G593/((F593/100)*(F593/100))</f>
      </c>
      <c r="I593" s="11">
        <f>IF(H593&lt;25,0,IF(H593&lt;30,1,2))</f>
      </c>
      <c r="J593" s="18" t="s">
        <v>263</v>
      </c>
      <c r="K593" s="17" t="s">
        <v>237</v>
      </c>
      <c r="L593" s="17" t="s">
        <v>262</v>
      </c>
      <c r="M593" s="17" t="s">
        <v>37</v>
      </c>
      <c r="N593" s="17" t="s">
        <v>38</v>
      </c>
      <c r="O593" s="17" t="s">
        <v>272</v>
      </c>
      <c r="P593" s="17" t="s">
        <v>196</v>
      </c>
      <c r="Q593" s="10">
        <f>IF(P593="None of the above",0,2)</f>
      </c>
      <c r="R593" s="17" t="s">
        <v>56</v>
      </c>
      <c r="S593" s="17" t="s">
        <v>42</v>
      </c>
      <c r="T593" s="17" t="s">
        <v>96</v>
      </c>
      <c r="U593" s="10">
        <f>IF(T593="Heavy physical",0,IF(T593="Moderate activity",1,2))</f>
      </c>
      <c r="V593" s="18" t="s">
        <v>69</v>
      </c>
      <c r="W593" s="10">
        <f>IF(V593="7–8 hours",0,IF(V593="6–7 hours",1,2))</f>
      </c>
      <c r="X593" s="17" t="s">
        <v>45</v>
      </c>
      <c r="Y593" s="17" t="s">
        <v>64</v>
      </c>
      <c r="Z593" s="17" t="s">
        <v>45</v>
      </c>
      <c r="AA593" s="17" t="s">
        <v>42</v>
      </c>
      <c r="AB593" s="17" t="s">
        <v>42</v>
      </c>
      <c r="AC593" s="17" t="s">
        <v>247</v>
      </c>
      <c r="AD593" s="10">
        <f>I593 + Q593 + U593 + W593</f>
      </c>
      <c r="AE593" s="10">
        <f>IF(AD593&lt;=2,0,IF(AD593&lt;=5,1,2))</f>
      </c>
      <c r="AF593" s="7"/>
    </row>
    <row x14ac:dyDescent="0.25" r="594" customHeight="1" ht="17.25">
      <c r="A594" s="17" t="s">
        <v>251</v>
      </c>
      <c r="B594" s="17" t="s">
        <v>252</v>
      </c>
      <c r="C594" s="17" t="s">
        <v>126</v>
      </c>
      <c r="D594" s="18" t="s">
        <v>242</v>
      </c>
      <c r="E594" s="17" t="s">
        <v>34</v>
      </c>
      <c r="F594" s="21">
        <v>152.4</v>
      </c>
      <c r="G594" s="20">
        <v>53</v>
      </c>
      <c r="H594" s="12">
        <f>G594/((F594/100)*(F594/100))</f>
      </c>
      <c r="I594" s="11">
        <f>IF(H594&lt;25,0,IF(H594&lt;30,1,2))</f>
      </c>
      <c r="J594" s="18" t="s">
        <v>246</v>
      </c>
      <c r="K594" s="17" t="s">
        <v>237</v>
      </c>
      <c r="L594" s="17" t="s">
        <v>36</v>
      </c>
      <c r="M594" s="17" t="s">
        <v>185</v>
      </c>
      <c r="N594" s="17" t="s">
        <v>38</v>
      </c>
      <c r="O594" s="17" t="s">
        <v>239</v>
      </c>
      <c r="P594" s="17" t="s">
        <v>196</v>
      </c>
      <c r="Q594" s="10">
        <f>IF(P594="None of the above",0,2)</f>
      </c>
      <c r="R594" s="17" t="s">
        <v>89</v>
      </c>
      <c r="S594" s="17" t="s">
        <v>42</v>
      </c>
      <c r="T594" s="17" t="s">
        <v>43</v>
      </c>
      <c r="U594" s="10">
        <f>IF(T594="Heavy physical",0,IF(T594="Moderate activity",1,2))</f>
      </c>
      <c r="V594" s="18" t="s">
        <v>69</v>
      </c>
      <c r="W594" s="10">
        <f>IF(V594="7–8 hours",0,IF(V594="6–7 hours",1,2))</f>
      </c>
      <c r="X594" s="17" t="s">
        <v>45</v>
      </c>
      <c r="Y594" s="17" t="s">
        <v>75</v>
      </c>
      <c r="Z594" s="17" t="s">
        <v>45</v>
      </c>
      <c r="AA594" s="17" t="s">
        <v>42</v>
      </c>
      <c r="AB594" s="17" t="s">
        <v>42</v>
      </c>
      <c r="AC594" s="17" t="s">
        <v>247</v>
      </c>
      <c r="AD594" s="10">
        <f>I594 + Q594 + U594 + W594</f>
      </c>
      <c r="AE594" s="10">
        <f>IF(AD594&lt;=2,0,IF(AD594&lt;=5,1,2))</f>
      </c>
      <c r="AF594" s="7"/>
    </row>
    <row x14ac:dyDescent="0.25" r="595" customHeight="1" ht="17.25">
      <c r="A595" s="17" t="s">
        <v>251</v>
      </c>
      <c r="B595" s="17" t="s">
        <v>233</v>
      </c>
      <c r="C595" s="17" t="s">
        <v>271</v>
      </c>
      <c r="D595" s="18" t="s">
        <v>242</v>
      </c>
      <c r="E595" s="17" t="s">
        <v>34</v>
      </c>
      <c r="F595" s="19">
        <v>150</v>
      </c>
      <c r="G595" s="20">
        <v>42</v>
      </c>
      <c r="H595" s="12">
        <f>G595/((F595/100)*(F595/100))</f>
      </c>
      <c r="I595" s="11">
        <f>IF(H595&lt;25,0,IF(H595&lt;30,1,2))</f>
      </c>
      <c r="J595" s="18" t="s">
        <v>246</v>
      </c>
      <c r="K595" s="17" t="s">
        <v>237</v>
      </c>
      <c r="L595" s="17" t="s">
        <v>318</v>
      </c>
      <c r="M595" s="17" t="s">
        <v>37</v>
      </c>
      <c r="N595" s="17" t="s">
        <v>179</v>
      </c>
      <c r="O595" s="17" t="s">
        <v>239</v>
      </c>
      <c r="P595" s="17" t="s">
        <v>196</v>
      </c>
      <c r="Q595" s="10">
        <f>IF(P595="None of the above",0,2)</f>
      </c>
      <c r="R595" s="17" t="s">
        <v>56</v>
      </c>
      <c r="S595" s="17" t="s">
        <v>42</v>
      </c>
      <c r="T595" s="17" t="s">
        <v>43</v>
      </c>
      <c r="U595" s="10">
        <f>IF(T595="Heavy physical",0,IF(T595="Moderate activity",1,2))</f>
      </c>
      <c r="V595" s="18" t="s">
        <v>57</v>
      </c>
      <c r="W595" s="10">
        <f>IF(V595="7–8 hours",0,IF(V595="6–7 hours",1,2))</f>
      </c>
      <c r="X595" s="17" t="s">
        <v>45</v>
      </c>
      <c r="Y595" s="17" t="s">
        <v>46</v>
      </c>
      <c r="Z595" s="17" t="s">
        <v>45</v>
      </c>
      <c r="AA595" s="17" t="s">
        <v>42</v>
      </c>
      <c r="AB595" s="17" t="s">
        <v>42</v>
      </c>
      <c r="AC595" s="17" t="s">
        <v>240</v>
      </c>
      <c r="AD595" s="10">
        <f>I595 + Q595 + U595 + W595</f>
      </c>
      <c r="AE595" s="10">
        <f>IF(AD595&lt;=2,0,IF(AD595&lt;=5,1,2))</f>
      </c>
      <c r="AF595" s="7"/>
    </row>
    <row x14ac:dyDescent="0.25" r="596" customHeight="1" ht="17.25">
      <c r="A596" s="17" t="s">
        <v>251</v>
      </c>
      <c r="B596" s="17" t="s">
        <v>252</v>
      </c>
      <c r="C596" s="17" t="s">
        <v>122</v>
      </c>
      <c r="D596" s="18" t="s">
        <v>274</v>
      </c>
      <c r="E596" s="17" t="s">
        <v>51</v>
      </c>
      <c r="F596" s="19">
        <v>183</v>
      </c>
      <c r="G596" s="20">
        <v>58</v>
      </c>
      <c r="H596" s="12">
        <f>G596/((F596/100)*(F596/100))</f>
      </c>
      <c r="I596" s="11">
        <f>IF(H596&lt;25,0,IF(H596&lt;30,1,2))</f>
      </c>
      <c r="J596" s="18" t="s">
        <v>236</v>
      </c>
      <c r="K596" s="17" t="s">
        <v>237</v>
      </c>
      <c r="L596" s="17" t="s">
        <v>266</v>
      </c>
      <c r="M596" s="17" t="s">
        <v>185</v>
      </c>
      <c r="N596" s="17" t="s">
        <v>38</v>
      </c>
      <c r="O596" s="17" t="s">
        <v>239</v>
      </c>
      <c r="P596" s="17" t="s">
        <v>196</v>
      </c>
      <c r="Q596" s="10">
        <f>IF(P596="None of the above",0,2)</f>
      </c>
      <c r="R596" s="17" t="s">
        <v>56</v>
      </c>
      <c r="S596" s="17" t="s">
        <v>42</v>
      </c>
      <c r="T596" s="17" t="s">
        <v>96</v>
      </c>
      <c r="U596" s="10">
        <f>IF(T596="Heavy physical",0,IF(T596="Moderate activity",1,2))</f>
      </c>
      <c r="V596" s="18" t="s">
        <v>69</v>
      </c>
      <c r="W596" s="10">
        <f>IF(V596="7–8 hours",0,IF(V596="6–7 hours",1,2))</f>
      </c>
      <c r="X596" s="17" t="s">
        <v>83</v>
      </c>
      <c r="Y596" s="17" t="s">
        <v>64</v>
      </c>
      <c r="Z596" s="17" t="s">
        <v>45</v>
      </c>
      <c r="AA596" s="17" t="s">
        <v>42</v>
      </c>
      <c r="AB596" s="17" t="s">
        <v>42</v>
      </c>
      <c r="AC596" s="17" t="s">
        <v>245</v>
      </c>
      <c r="AD596" s="10">
        <f>I596 + Q596 + U596 + W596</f>
      </c>
      <c r="AE596" s="10">
        <f>IF(AD596&lt;=2,0,IF(AD596&lt;=5,1,2))</f>
      </c>
      <c r="AF596" s="7"/>
    </row>
    <row x14ac:dyDescent="0.25" r="597" customHeight="1" ht="17.25">
      <c r="A597" s="17" t="s">
        <v>251</v>
      </c>
      <c r="B597" s="17" t="s">
        <v>252</v>
      </c>
      <c r="C597" s="17" t="s">
        <v>33</v>
      </c>
      <c r="D597" s="18" t="s">
        <v>242</v>
      </c>
      <c r="E597" s="17" t="s">
        <v>34</v>
      </c>
      <c r="F597" s="19">
        <v>140</v>
      </c>
      <c r="G597" s="20">
        <v>52</v>
      </c>
      <c r="H597" s="12">
        <f>G597/((F597/100)*(F597/100))</f>
      </c>
      <c r="I597" s="11">
        <f>IF(H597&lt;25,0,IF(H597&lt;30,1,2))</f>
      </c>
      <c r="J597" s="18" t="s">
        <v>246</v>
      </c>
      <c r="K597" s="17" t="s">
        <v>237</v>
      </c>
      <c r="L597" s="17" t="s">
        <v>36</v>
      </c>
      <c r="M597" s="17" t="s">
        <v>37</v>
      </c>
      <c r="N597" s="17" t="s">
        <v>201</v>
      </c>
      <c r="O597" s="17" t="s">
        <v>239</v>
      </c>
      <c r="P597" s="17" t="s">
        <v>196</v>
      </c>
      <c r="Q597" s="10">
        <f>IF(P597="None of the above",0,2)</f>
      </c>
      <c r="R597" s="17" t="s">
        <v>56</v>
      </c>
      <c r="S597" s="17" t="s">
        <v>42</v>
      </c>
      <c r="T597" s="17" t="s">
        <v>43</v>
      </c>
      <c r="U597" s="10">
        <f>IF(T597="Heavy physical",0,IF(T597="Moderate activity",1,2))</f>
      </c>
      <c r="V597" s="18" t="s">
        <v>44</v>
      </c>
      <c r="W597" s="10">
        <f>IF(V597="7–8 hours",0,IF(V597="6–7 hours",1,2))</f>
      </c>
      <c r="X597" s="17" t="s">
        <v>45</v>
      </c>
      <c r="Y597" s="17" t="s">
        <v>75</v>
      </c>
      <c r="Z597" s="17" t="s">
        <v>45</v>
      </c>
      <c r="AA597" s="17" t="s">
        <v>42</v>
      </c>
      <c r="AB597" s="17" t="s">
        <v>42</v>
      </c>
      <c r="AC597" s="17" t="s">
        <v>240</v>
      </c>
      <c r="AD597" s="10">
        <f>I597 + Q597 + U597 + W597</f>
      </c>
      <c r="AE597" s="10">
        <f>IF(AD597&lt;=2,0,IF(AD597&lt;=5,1,2))</f>
      </c>
      <c r="AF597" s="7"/>
    </row>
    <row x14ac:dyDescent="0.25" r="598" customHeight="1" ht="17.25">
      <c r="A598" s="17" t="s">
        <v>251</v>
      </c>
      <c r="B598" s="17" t="s">
        <v>252</v>
      </c>
      <c r="C598" s="17" t="s">
        <v>234</v>
      </c>
      <c r="D598" s="18" t="s">
        <v>242</v>
      </c>
      <c r="E598" s="17" t="s">
        <v>34</v>
      </c>
      <c r="F598" s="19">
        <v>158</v>
      </c>
      <c r="G598" s="20">
        <v>55</v>
      </c>
      <c r="H598" s="12">
        <f>G598/((F598/100)*(F598/100))</f>
      </c>
      <c r="I598" s="11">
        <f>IF(H598&lt;25,0,IF(H598&lt;30,1,2))</f>
      </c>
      <c r="J598" s="18" t="s">
        <v>246</v>
      </c>
      <c r="K598" s="17" t="s">
        <v>237</v>
      </c>
      <c r="L598" s="17" t="s">
        <v>238</v>
      </c>
      <c r="M598" s="17" t="s">
        <v>37</v>
      </c>
      <c r="N598" s="17" t="s">
        <v>179</v>
      </c>
      <c r="O598" s="17" t="s">
        <v>239</v>
      </c>
      <c r="P598" s="17" t="s">
        <v>196</v>
      </c>
      <c r="Q598" s="10">
        <f>IF(P598="None of the above",0,2)</f>
      </c>
      <c r="R598" s="17" t="s">
        <v>41</v>
      </c>
      <c r="S598" s="17" t="s">
        <v>42</v>
      </c>
      <c r="T598" s="17" t="s">
        <v>99</v>
      </c>
      <c r="U598" s="10">
        <f>IF(T598="Heavy physical",0,IF(T598="Moderate activity",1,2))</f>
      </c>
      <c r="V598" s="18" t="s">
        <v>57</v>
      </c>
      <c r="W598" s="10">
        <f>IF(V598="7–8 hours",0,IF(V598="6–7 hours",1,2))</f>
      </c>
      <c r="X598" s="17" t="s">
        <v>45</v>
      </c>
      <c r="Y598" s="17" t="s">
        <v>64</v>
      </c>
      <c r="Z598" s="17" t="s">
        <v>45</v>
      </c>
      <c r="AA598" s="17" t="s">
        <v>42</v>
      </c>
      <c r="AB598" s="17" t="s">
        <v>42</v>
      </c>
      <c r="AC598" s="17" t="s">
        <v>247</v>
      </c>
      <c r="AD598" s="10">
        <f>I598 + Q598 + U598 + W598</f>
      </c>
      <c r="AE598" s="10">
        <f>IF(AD598&lt;=2,0,IF(AD598&lt;=5,1,2))</f>
      </c>
      <c r="AF598" s="7"/>
    </row>
    <row x14ac:dyDescent="0.25" r="599" customHeight="1" ht="17.25">
      <c r="A599" s="17" t="s">
        <v>251</v>
      </c>
      <c r="B599" s="17" t="s">
        <v>241</v>
      </c>
      <c r="C599" s="17" t="s">
        <v>33</v>
      </c>
      <c r="D599" s="18" t="s">
        <v>249</v>
      </c>
      <c r="E599" s="17" t="s">
        <v>34</v>
      </c>
      <c r="F599" s="19">
        <v>155</v>
      </c>
      <c r="G599" s="20">
        <v>54</v>
      </c>
      <c r="H599" s="12">
        <f>G599/((F599/100)*(F599/100))</f>
      </c>
      <c r="I599" s="11">
        <f>IF(H599&lt;25,0,IF(H599&lt;30,1,2))</f>
      </c>
      <c r="J599" s="18" t="s">
        <v>284</v>
      </c>
      <c r="K599" s="17" t="s">
        <v>237</v>
      </c>
      <c r="L599" s="17" t="s">
        <v>238</v>
      </c>
      <c r="M599" s="17" t="s">
        <v>185</v>
      </c>
      <c r="N599" s="17" t="s">
        <v>201</v>
      </c>
      <c r="O599" s="17" t="s">
        <v>239</v>
      </c>
      <c r="P599" s="17" t="s">
        <v>196</v>
      </c>
      <c r="Q599" s="10">
        <f>IF(P599="None of the above",0,2)</f>
      </c>
      <c r="R599" s="17" t="s">
        <v>56</v>
      </c>
      <c r="S599" s="17" t="s">
        <v>42</v>
      </c>
      <c r="T599" s="17" t="s">
        <v>43</v>
      </c>
      <c r="U599" s="10">
        <f>IF(T599="Heavy physical",0,IF(T599="Moderate activity",1,2))</f>
      </c>
      <c r="V599" s="18" t="s">
        <v>69</v>
      </c>
      <c r="W599" s="10">
        <f>IF(V599="7–8 hours",0,IF(V599="6–7 hours",1,2))</f>
      </c>
      <c r="X599" s="17" t="s">
        <v>45</v>
      </c>
      <c r="Y599" s="17" t="s">
        <v>75</v>
      </c>
      <c r="Z599" s="17" t="s">
        <v>45</v>
      </c>
      <c r="AA599" s="17" t="s">
        <v>319</v>
      </c>
      <c r="AB599" s="17" t="s">
        <v>42</v>
      </c>
      <c r="AC599" s="17" t="s">
        <v>240</v>
      </c>
      <c r="AD599" s="10">
        <f>I599 + Q599 + U599 + W599</f>
      </c>
      <c r="AE599" s="10">
        <f>IF(AD599&lt;=2,0,IF(AD599&lt;=5,1,2))</f>
      </c>
      <c r="AF599" s="7"/>
    </row>
    <row x14ac:dyDescent="0.25" r="600" customHeight="1" ht="17.25">
      <c r="A600" s="17" t="s">
        <v>251</v>
      </c>
      <c r="B600" s="17" t="s">
        <v>241</v>
      </c>
      <c r="C600" s="17" t="s">
        <v>33</v>
      </c>
      <c r="D600" s="18" t="s">
        <v>242</v>
      </c>
      <c r="E600" s="17" t="s">
        <v>34</v>
      </c>
      <c r="F600" s="19">
        <v>110</v>
      </c>
      <c r="G600" s="20">
        <v>55</v>
      </c>
      <c r="H600" s="12">
        <f>G600/((F600/100)*(F600/100))</f>
      </c>
      <c r="I600" s="11">
        <f>IF(H600&lt;25,0,IF(H600&lt;30,1,2))</f>
      </c>
      <c r="J600" s="18" t="s">
        <v>246</v>
      </c>
      <c r="K600" s="17" t="s">
        <v>237</v>
      </c>
      <c r="L600" s="17" t="s">
        <v>307</v>
      </c>
      <c r="M600" s="17" t="s">
        <v>37</v>
      </c>
      <c r="N600" s="17" t="s">
        <v>38</v>
      </c>
      <c r="O600" s="17" t="s">
        <v>239</v>
      </c>
      <c r="P600" s="17" t="s">
        <v>196</v>
      </c>
      <c r="Q600" s="10">
        <f>IF(P600="None of the above",0,2)</f>
      </c>
      <c r="R600" s="17" t="s">
        <v>56</v>
      </c>
      <c r="S600" s="17" t="s">
        <v>42</v>
      </c>
      <c r="T600" s="17" t="s">
        <v>99</v>
      </c>
      <c r="U600" s="10">
        <f>IF(T600="Heavy physical",0,IF(T600="Moderate activity",1,2))</f>
      </c>
      <c r="V600" s="18" t="s">
        <v>44</v>
      </c>
      <c r="W600" s="10">
        <f>IF(V600="7–8 hours",0,IF(V600="6–7 hours",1,2))</f>
      </c>
      <c r="X600" s="17" t="s">
        <v>45</v>
      </c>
      <c r="Y600" s="17" t="s">
        <v>75</v>
      </c>
      <c r="Z600" s="17" t="s">
        <v>45</v>
      </c>
      <c r="AA600" s="17" t="s">
        <v>42</v>
      </c>
      <c r="AB600" s="17" t="s">
        <v>42</v>
      </c>
      <c r="AC600" s="17" t="s">
        <v>247</v>
      </c>
      <c r="AD600" s="10">
        <f>I600 + Q600 + U600 + W600</f>
      </c>
      <c r="AE600" s="10">
        <f>IF(AD600&lt;=2,0,IF(AD600&lt;=5,1,2))</f>
      </c>
      <c r="AF600" s="7"/>
    </row>
    <row x14ac:dyDescent="0.25" r="601" customHeight="1" ht="17.25">
      <c r="A601" s="17" t="s">
        <v>130</v>
      </c>
      <c r="B601" s="17" t="s">
        <v>320</v>
      </c>
      <c r="C601" s="17" t="s">
        <v>33</v>
      </c>
      <c r="D601" s="18" t="s">
        <v>242</v>
      </c>
      <c r="E601" s="17" t="s">
        <v>51</v>
      </c>
      <c r="F601" s="19">
        <v>170</v>
      </c>
      <c r="G601" s="20">
        <v>67</v>
      </c>
      <c r="H601" s="12">
        <f>G601/((F601/100)*(F601/100))</f>
      </c>
      <c r="I601" s="11">
        <f>IF(H601&lt;25,0,IF(H601&lt;30,1,2))</f>
      </c>
      <c r="J601" s="18" t="s">
        <v>246</v>
      </c>
      <c r="K601" s="17" t="s">
        <v>237</v>
      </c>
      <c r="L601" s="17" t="s">
        <v>243</v>
      </c>
      <c r="M601" s="17" t="s">
        <v>37</v>
      </c>
      <c r="N601" s="17" t="s">
        <v>179</v>
      </c>
      <c r="O601" s="17" t="s">
        <v>239</v>
      </c>
      <c r="P601" s="17" t="s">
        <v>196</v>
      </c>
      <c r="Q601" s="10">
        <f>IF(P601="None of the above",0,2)</f>
      </c>
      <c r="R601" s="17" t="s">
        <v>56</v>
      </c>
      <c r="S601" s="17" t="s">
        <v>42</v>
      </c>
      <c r="T601" s="17" t="s">
        <v>43</v>
      </c>
      <c r="U601" s="10">
        <f>IF(T601="Heavy physical",0,IF(T601="Moderate activity",1,2))</f>
      </c>
      <c r="V601" s="18" t="s">
        <v>44</v>
      </c>
      <c r="W601" s="10">
        <f>IF(V601="7–8 hours",0,IF(V601="6–7 hours",1,2))</f>
      </c>
      <c r="X601" s="17" t="s">
        <v>70</v>
      </c>
      <c r="Y601" s="17" t="s">
        <v>75</v>
      </c>
      <c r="Z601" s="17" t="s">
        <v>65</v>
      </c>
      <c r="AA601" s="17" t="s">
        <v>42</v>
      </c>
      <c r="AB601" s="17" t="s">
        <v>42</v>
      </c>
      <c r="AC601" s="17" t="s">
        <v>245</v>
      </c>
      <c r="AD601" s="10">
        <f>I601 + Q601 + U601 + W601</f>
      </c>
      <c r="AE601" s="10">
        <f>IF(AD601&lt;=2,0,IF(AD601&lt;=5,1,2))</f>
      </c>
      <c r="AF601" s="7"/>
    </row>
    <row x14ac:dyDescent="0.25" r="602" customHeight="1" ht="17.25">
      <c r="A602" s="17" t="s">
        <v>251</v>
      </c>
      <c r="B602" s="17" t="s">
        <v>252</v>
      </c>
      <c r="C602" s="17" t="s">
        <v>50</v>
      </c>
      <c r="D602" s="18" t="s">
        <v>242</v>
      </c>
      <c r="E602" s="17" t="s">
        <v>34</v>
      </c>
      <c r="F602" s="19">
        <v>164</v>
      </c>
      <c r="G602" s="20">
        <v>64</v>
      </c>
      <c r="H602" s="12">
        <f>G602/((F602/100)*(F602/100))</f>
      </c>
      <c r="I602" s="11">
        <f>IF(H602&lt;25,0,IF(H602&lt;30,1,2))</f>
      </c>
      <c r="J602" s="18" t="s">
        <v>246</v>
      </c>
      <c r="K602" s="17" t="s">
        <v>237</v>
      </c>
      <c r="L602" s="17" t="s">
        <v>285</v>
      </c>
      <c r="M602" s="17" t="s">
        <v>37</v>
      </c>
      <c r="N602" s="17" t="s">
        <v>201</v>
      </c>
      <c r="O602" s="17" t="s">
        <v>239</v>
      </c>
      <c r="P602" s="17" t="s">
        <v>196</v>
      </c>
      <c r="Q602" s="10">
        <f>IF(P602="None of the above",0,2)</f>
      </c>
      <c r="R602" s="17" t="s">
        <v>56</v>
      </c>
      <c r="S602" s="17" t="s">
        <v>42</v>
      </c>
      <c r="T602" s="17" t="s">
        <v>96</v>
      </c>
      <c r="U602" s="10">
        <f>IF(T602="Heavy physical",0,IF(T602="Moderate activity",1,2))</f>
      </c>
      <c r="V602" s="18" t="s">
        <v>69</v>
      </c>
      <c r="W602" s="10">
        <f>IF(V602="7–8 hours",0,IF(V602="6–7 hours",1,2))</f>
      </c>
      <c r="X602" s="17" t="s">
        <v>45</v>
      </c>
      <c r="Y602" s="17" t="s">
        <v>321</v>
      </c>
      <c r="Z602" s="17" t="s">
        <v>45</v>
      </c>
      <c r="AA602" s="17" t="s">
        <v>42</v>
      </c>
      <c r="AB602" s="17" t="s">
        <v>42</v>
      </c>
      <c r="AC602" s="17" t="s">
        <v>247</v>
      </c>
      <c r="AD602" s="10">
        <f>I602 + Q602 + U602 + W602</f>
      </c>
      <c r="AE602" s="10">
        <f>IF(AD602&lt;=2,0,IF(AD602&lt;=5,1,2))</f>
      </c>
      <c r="AF602" s="7"/>
    </row>
    <row x14ac:dyDescent="0.25" r="603" customHeight="1" ht="17.25">
      <c r="A603" s="17" t="s">
        <v>251</v>
      </c>
      <c r="B603" s="17" t="s">
        <v>233</v>
      </c>
      <c r="C603" s="17" t="s">
        <v>271</v>
      </c>
      <c r="D603" s="18" t="s">
        <v>242</v>
      </c>
      <c r="E603" s="17" t="s">
        <v>34</v>
      </c>
      <c r="F603" s="21">
        <v>155.448</v>
      </c>
      <c r="G603" s="20">
        <v>35</v>
      </c>
      <c r="H603" s="12">
        <f>G603/((F603/100)*(F603/100))</f>
      </c>
      <c r="I603" s="11">
        <f>IF(H603&lt;25,0,IF(H603&lt;30,1,2))</f>
      </c>
      <c r="J603" s="18" t="s">
        <v>246</v>
      </c>
      <c r="K603" s="17" t="s">
        <v>237</v>
      </c>
      <c r="L603" s="17" t="s">
        <v>322</v>
      </c>
      <c r="M603" s="17" t="s">
        <v>54</v>
      </c>
      <c r="N603" s="17" t="s">
        <v>179</v>
      </c>
      <c r="O603" s="17" t="s">
        <v>239</v>
      </c>
      <c r="P603" s="17" t="s">
        <v>196</v>
      </c>
      <c r="Q603" s="10">
        <f>IF(P603="None of the above",0,2)</f>
      </c>
      <c r="R603" s="17" t="s">
        <v>56</v>
      </c>
      <c r="S603" s="17" t="s">
        <v>319</v>
      </c>
      <c r="T603" s="17" t="s">
        <v>259</v>
      </c>
      <c r="U603" s="10">
        <f>IF(T603="Heavy physical",0,IF(T603="Moderate activity",1,2))</f>
      </c>
      <c r="V603" s="18" t="s">
        <v>44</v>
      </c>
      <c r="W603" s="10">
        <f>IF(V603="7–8 hours",0,IF(V603="6–7 hours",1,2))</f>
      </c>
      <c r="X603" s="17" t="s">
        <v>70</v>
      </c>
      <c r="Y603" s="17" t="s">
        <v>323</v>
      </c>
      <c r="Z603" s="17" t="s">
        <v>324</v>
      </c>
      <c r="AA603" s="17" t="s">
        <v>42</v>
      </c>
      <c r="AB603" s="17" t="s">
        <v>42</v>
      </c>
      <c r="AC603" s="17" t="s">
        <v>247</v>
      </c>
      <c r="AD603" s="10">
        <f>I603 + Q603 + U603 + W603</f>
      </c>
      <c r="AE603" s="10">
        <f>IF(AD603&lt;=2,0,IF(AD603&lt;=5,1,2))</f>
      </c>
      <c r="AF603" s="7"/>
    </row>
    <row x14ac:dyDescent="0.25" r="604" customHeight="1" ht="17.25">
      <c r="A604" s="17" t="s">
        <v>251</v>
      </c>
      <c r="B604" s="17" t="s">
        <v>252</v>
      </c>
      <c r="C604" s="17" t="s">
        <v>33</v>
      </c>
      <c r="D604" s="18" t="s">
        <v>242</v>
      </c>
      <c r="E604" s="17" t="s">
        <v>51</v>
      </c>
      <c r="F604" s="19">
        <v>170</v>
      </c>
      <c r="G604" s="20">
        <v>63</v>
      </c>
      <c r="H604" s="12">
        <f>G604/((F604/100)*(F604/100))</f>
      </c>
      <c r="I604" s="11">
        <f>IF(H604&lt;25,0,IF(H604&lt;30,1,2))</f>
      </c>
      <c r="J604" s="18" t="s">
        <v>246</v>
      </c>
      <c r="K604" s="17" t="s">
        <v>237</v>
      </c>
      <c r="L604" s="17" t="s">
        <v>243</v>
      </c>
      <c r="M604" s="17" t="s">
        <v>54</v>
      </c>
      <c r="N604" s="17" t="s">
        <v>179</v>
      </c>
      <c r="O604" s="17" t="s">
        <v>239</v>
      </c>
      <c r="P604" s="17" t="s">
        <v>196</v>
      </c>
      <c r="Q604" s="10">
        <f>IF(P604="None of the above",0,2)</f>
      </c>
      <c r="R604" s="17" t="s">
        <v>56</v>
      </c>
      <c r="S604" s="17" t="s">
        <v>42</v>
      </c>
      <c r="T604" s="17" t="s">
        <v>96</v>
      </c>
      <c r="U604" s="10">
        <f>IF(T604="Heavy physical",0,IF(T604="Moderate activity",1,2))</f>
      </c>
      <c r="V604" s="18" t="s">
        <v>69</v>
      </c>
      <c r="W604" s="10">
        <f>IF(V604="7–8 hours",0,IF(V604="6–7 hours",1,2))</f>
      </c>
      <c r="X604" s="17" t="s">
        <v>45</v>
      </c>
      <c r="Y604" s="17" t="s">
        <v>244</v>
      </c>
      <c r="Z604" s="17" t="s">
        <v>45</v>
      </c>
      <c r="AA604" s="17" t="s">
        <v>42</v>
      </c>
      <c r="AB604" s="17" t="s">
        <v>42</v>
      </c>
      <c r="AC604" s="17" t="s">
        <v>245</v>
      </c>
      <c r="AD604" s="10">
        <f>I604 + Q604 + U604 + W604</f>
      </c>
      <c r="AE604" s="10">
        <f>IF(AD604&lt;=2,0,IF(AD604&lt;=5,1,2))</f>
      </c>
      <c r="AF604" s="7"/>
    </row>
    <row x14ac:dyDescent="0.25" r="605" customHeight="1" ht="17.25" hidden="1">
      <c r="A605" s="17" t="s">
        <v>325</v>
      </c>
      <c r="B605" s="17" t="s">
        <v>241</v>
      </c>
      <c r="C605" s="17" t="s">
        <v>234</v>
      </c>
      <c r="D605" s="18" t="s">
        <v>242</v>
      </c>
      <c r="E605" s="17" t="s">
        <v>51</v>
      </c>
      <c r="F605" s="19">
        <v>165</v>
      </c>
      <c r="G605" s="20">
        <v>69</v>
      </c>
      <c r="H605" s="12">
        <f>G605/((F605/100)*(F605/100))</f>
      </c>
      <c r="I605" s="11">
        <f>IF(H605&lt;25,0,IF(H605&lt;30,1,2))</f>
      </c>
      <c r="J605" s="18" t="s">
        <v>236</v>
      </c>
      <c r="K605" s="17" t="s">
        <v>237</v>
      </c>
      <c r="L605" s="17" t="s">
        <v>243</v>
      </c>
      <c r="M605" s="17" t="s">
        <v>37</v>
      </c>
      <c r="N605" s="17" t="s">
        <v>118</v>
      </c>
      <c r="O605" s="17" t="s">
        <v>239</v>
      </c>
      <c r="P605" s="17" t="s">
        <v>81</v>
      </c>
      <c r="Q605" s="10">
        <f>IF(P605="None of the above",0,2)</f>
      </c>
      <c r="R605" s="17" t="s">
        <v>41</v>
      </c>
      <c r="S605" s="17" t="s">
        <v>42</v>
      </c>
      <c r="T605" s="17" t="s">
        <v>96</v>
      </c>
      <c r="U605" s="10">
        <f>IF(T605="Heavy physical",0,IF(T605="Moderate activity",1,2))</f>
      </c>
      <c r="V605" s="18" t="s">
        <v>69</v>
      </c>
      <c r="W605" s="10">
        <f>IF(V605="7–8 hours",0,IF(V605="6–7 hours",1,2))</f>
      </c>
      <c r="X605" s="17" t="s">
        <v>45</v>
      </c>
      <c r="Y605" s="17" t="s">
        <v>75</v>
      </c>
      <c r="Z605" s="17" t="s">
        <v>45</v>
      </c>
      <c r="AA605" s="17" t="s">
        <v>42</v>
      </c>
      <c r="AB605" s="17" t="s">
        <v>42</v>
      </c>
      <c r="AC605" s="17" t="s">
        <v>245</v>
      </c>
      <c r="AD605" s="10">
        <f>I605 + Q605 + U605 + W605</f>
      </c>
      <c r="AE605" s="10">
        <f>IF(AD605&lt;=2,0,IF(AD605&lt;=5,1,2))</f>
      </c>
      <c r="AF605" s="7"/>
    </row>
    <row x14ac:dyDescent="0.25" r="606" customHeight="1" ht="17.25" hidden="1">
      <c r="A606" s="17" t="s">
        <v>251</v>
      </c>
      <c r="B606" s="17" t="s">
        <v>241</v>
      </c>
      <c r="C606" s="17" t="s">
        <v>50</v>
      </c>
      <c r="D606" s="18" t="s">
        <v>242</v>
      </c>
      <c r="E606" s="17" t="s">
        <v>34</v>
      </c>
      <c r="F606" s="21">
        <v>158.4</v>
      </c>
      <c r="G606" s="20">
        <v>50</v>
      </c>
      <c r="H606" s="12">
        <f>G606/((F606/100)*(F606/100))</f>
      </c>
      <c r="I606" s="11">
        <f>IF(H606&lt;25,0,IF(H606&lt;30,1,2))</f>
      </c>
      <c r="J606" s="18" t="s">
        <v>246</v>
      </c>
      <c r="K606" s="17" t="s">
        <v>237</v>
      </c>
      <c r="L606" s="17" t="s">
        <v>243</v>
      </c>
      <c r="M606" s="17" t="s">
        <v>54</v>
      </c>
      <c r="N606" s="17" t="s">
        <v>38</v>
      </c>
      <c r="O606" s="17" t="s">
        <v>239</v>
      </c>
      <c r="P606" s="17" t="s">
        <v>81</v>
      </c>
      <c r="Q606" s="10">
        <f>IF(P606="None of the above",0,2)</f>
      </c>
      <c r="R606" s="17" t="s">
        <v>56</v>
      </c>
      <c r="S606" s="17" t="s">
        <v>42</v>
      </c>
      <c r="T606" s="17" t="s">
        <v>99</v>
      </c>
      <c r="U606" s="10">
        <f>IF(T606="Heavy physical",0,IF(T606="Moderate activity",1,2))</f>
      </c>
      <c r="V606" s="18" t="s">
        <v>57</v>
      </c>
      <c r="W606" s="10">
        <f>IF(V606="7–8 hours",0,IF(V606="6–7 hours",1,2))</f>
      </c>
      <c r="X606" s="17" t="s">
        <v>45</v>
      </c>
      <c r="Y606" s="17" t="s">
        <v>244</v>
      </c>
      <c r="Z606" s="17" t="s">
        <v>45</v>
      </c>
      <c r="AA606" s="17" t="s">
        <v>42</v>
      </c>
      <c r="AB606" s="17" t="s">
        <v>42</v>
      </c>
      <c r="AC606" s="17" t="s">
        <v>247</v>
      </c>
      <c r="AD606" s="10">
        <f>I606 + Q606 + U606 + W606</f>
      </c>
      <c r="AE606" s="10">
        <f>IF(AD606&lt;=2,0,IF(AD606&lt;=5,1,2))</f>
      </c>
      <c r="AF606" s="7"/>
    </row>
    <row x14ac:dyDescent="0.25" r="607" customHeight="1" ht="17.25" hidden="1">
      <c r="A607" s="17" t="s">
        <v>251</v>
      </c>
      <c r="B607" s="17" t="s">
        <v>233</v>
      </c>
      <c r="C607" s="17" t="s">
        <v>50</v>
      </c>
      <c r="D607" s="18" t="s">
        <v>242</v>
      </c>
      <c r="E607" s="17" t="s">
        <v>34</v>
      </c>
      <c r="F607" s="19">
        <v>153</v>
      </c>
      <c r="G607" s="20">
        <v>58</v>
      </c>
      <c r="H607" s="12">
        <f>G607/((F607/100)*(F607/100))</f>
      </c>
      <c r="I607" s="11">
        <f>IF(H607&lt;25,0,IF(H607&lt;30,1,2))</f>
      </c>
      <c r="J607" s="18" t="s">
        <v>236</v>
      </c>
      <c r="K607" s="17" t="s">
        <v>237</v>
      </c>
      <c r="L607" s="17" t="s">
        <v>270</v>
      </c>
      <c r="M607" s="17" t="s">
        <v>37</v>
      </c>
      <c r="N607" s="17" t="s">
        <v>38</v>
      </c>
      <c r="O607" s="17" t="s">
        <v>239</v>
      </c>
      <c r="P607" s="17" t="s">
        <v>81</v>
      </c>
      <c r="Q607" s="10">
        <f>IF(P607="None of the above",0,2)</f>
      </c>
      <c r="R607" s="17" t="s">
        <v>56</v>
      </c>
      <c r="S607" s="17" t="s">
        <v>42</v>
      </c>
      <c r="T607" s="17" t="s">
        <v>96</v>
      </c>
      <c r="U607" s="10">
        <f>IF(T607="Heavy physical",0,IF(T607="Moderate activity",1,2))</f>
      </c>
      <c r="V607" s="18" t="s">
        <v>44</v>
      </c>
      <c r="W607" s="10">
        <f>IF(V607="7–8 hours",0,IF(V607="6–7 hours",1,2))</f>
      </c>
      <c r="X607" s="17" t="s">
        <v>45</v>
      </c>
      <c r="Y607" s="17" t="s">
        <v>244</v>
      </c>
      <c r="Z607" s="17" t="s">
        <v>45</v>
      </c>
      <c r="AA607" s="17" t="s">
        <v>42</v>
      </c>
      <c r="AB607" s="17" t="s">
        <v>42</v>
      </c>
      <c r="AC607" s="17" t="s">
        <v>247</v>
      </c>
      <c r="AD607" s="10">
        <f>I607 + Q607 + U607 + W607</f>
      </c>
      <c r="AE607" s="10">
        <f>IF(AD607&lt;=2,0,IF(AD607&lt;=5,1,2))</f>
      </c>
      <c r="AF607" s="7"/>
    </row>
    <row x14ac:dyDescent="0.25" r="608" customHeight="1" ht="17.25" hidden="1">
      <c r="A608" s="17" t="s">
        <v>251</v>
      </c>
      <c r="B608" s="17" t="s">
        <v>233</v>
      </c>
      <c r="C608" s="17" t="s">
        <v>50</v>
      </c>
      <c r="D608" s="18" t="s">
        <v>249</v>
      </c>
      <c r="E608" s="17" t="s">
        <v>34</v>
      </c>
      <c r="F608" s="19">
        <v>150</v>
      </c>
      <c r="G608" s="20">
        <v>40</v>
      </c>
      <c r="H608" s="12">
        <f>G608/((F608/100)*(F608/100))</f>
      </c>
      <c r="I608" s="11">
        <f>IF(H608&lt;25,0,IF(H608&lt;30,1,2))</f>
      </c>
      <c r="J608" s="18" t="s">
        <v>236</v>
      </c>
      <c r="K608" s="17" t="s">
        <v>237</v>
      </c>
      <c r="L608" s="17" t="s">
        <v>270</v>
      </c>
      <c r="M608" s="17" t="s">
        <v>185</v>
      </c>
      <c r="N608" s="17" t="s">
        <v>38</v>
      </c>
      <c r="O608" s="17" t="s">
        <v>239</v>
      </c>
      <c r="P608" s="17" t="s">
        <v>81</v>
      </c>
      <c r="Q608" s="10">
        <f>IF(P608="None of the above",0,2)</f>
      </c>
      <c r="R608" s="17" t="s">
        <v>56</v>
      </c>
      <c r="S608" s="17" t="s">
        <v>42</v>
      </c>
      <c r="T608" s="17" t="s">
        <v>43</v>
      </c>
      <c r="U608" s="10">
        <f>IF(T608="Heavy physical",0,IF(T608="Moderate activity",1,2))</f>
      </c>
      <c r="V608" s="18" t="s">
        <v>44</v>
      </c>
      <c r="W608" s="10">
        <f>IF(V608="7–8 hours",0,IF(V608="6–7 hours",1,2))</f>
      </c>
      <c r="X608" s="17" t="s">
        <v>45</v>
      </c>
      <c r="Y608" s="17" t="s">
        <v>46</v>
      </c>
      <c r="Z608" s="17" t="s">
        <v>45</v>
      </c>
      <c r="AA608" s="17" t="s">
        <v>42</v>
      </c>
      <c r="AB608" s="17" t="s">
        <v>42</v>
      </c>
      <c r="AC608" s="17" t="s">
        <v>247</v>
      </c>
      <c r="AD608" s="10">
        <f>I608 + Q608 + U608 + W608</f>
      </c>
      <c r="AE608" s="10">
        <f>IF(AD608&lt;=2,0,IF(AD608&lt;=5,1,2))</f>
      </c>
      <c r="AF608" s="7"/>
    </row>
    <row x14ac:dyDescent="0.25" r="609" customHeight="1" ht="17.25" hidden="1">
      <c r="A609" s="17" t="s">
        <v>251</v>
      </c>
      <c r="B609" s="17" t="s">
        <v>252</v>
      </c>
      <c r="C609" s="17" t="s">
        <v>50</v>
      </c>
      <c r="D609" s="18" t="s">
        <v>274</v>
      </c>
      <c r="E609" s="17" t="s">
        <v>34</v>
      </c>
      <c r="F609" s="21">
        <v>157.5</v>
      </c>
      <c r="G609" s="20">
        <v>39</v>
      </c>
      <c r="H609" s="12">
        <f>G609/((F609/100)*(F609/100))</f>
      </c>
      <c r="I609" s="11">
        <f>IF(H609&lt;25,0,IF(H609&lt;30,1,2))</f>
      </c>
      <c r="J609" s="18" t="s">
        <v>246</v>
      </c>
      <c r="K609" s="17" t="s">
        <v>237</v>
      </c>
      <c r="L609" s="17" t="s">
        <v>238</v>
      </c>
      <c r="M609" s="17" t="s">
        <v>37</v>
      </c>
      <c r="N609" s="17" t="s">
        <v>38</v>
      </c>
      <c r="O609" s="17" t="s">
        <v>239</v>
      </c>
      <c r="P609" s="17" t="s">
        <v>81</v>
      </c>
      <c r="Q609" s="10">
        <f>IF(P609="None of the above",0,2)</f>
      </c>
      <c r="R609" s="17" t="s">
        <v>56</v>
      </c>
      <c r="S609" s="17" t="s">
        <v>42</v>
      </c>
      <c r="T609" s="17" t="s">
        <v>99</v>
      </c>
      <c r="U609" s="10">
        <f>IF(T609="Heavy physical",0,IF(T609="Moderate activity",1,2))</f>
      </c>
      <c r="V609" s="18" t="s">
        <v>69</v>
      </c>
      <c r="W609" s="10">
        <f>IF(V609="7–8 hours",0,IF(V609="6–7 hours",1,2))</f>
      </c>
      <c r="X609" s="17" t="s">
        <v>45</v>
      </c>
      <c r="Y609" s="17" t="s">
        <v>75</v>
      </c>
      <c r="Z609" s="17" t="s">
        <v>45</v>
      </c>
      <c r="AA609" s="17" t="s">
        <v>42</v>
      </c>
      <c r="AB609" s="17" t="s">
        <v>42</v>
      </c>
      <c r="AC609" s="17" t="s">
        <v>247</v>
      </c>
      <c r="AD609" s="10">
        <f>I609 + Q609 + U609 + W609</f>
      </c>
      <c r="AE609" s="10">
        <f>IF(AD609&lt;=2,0,IF(AD609&lt;=5,1,2))</f>
      </c>
      <c r="AF609" s="7"/>
    </row>
    <row x14ac:dyDescent="0.25" r="610" customHeight="1" ht="17.25" hidden="1">
      <c r="A610" s="17" t="s">
        <v>251</v>
      </c>
      <c r="B610" s="17" t="s">
        <v>241</v>
      </c>
      <c r="C610" s="17" t="s">
        <v>234</v>
      </c>
      <c r="D610" s="18" t="s">
        <v>274</v>
      </c>
      <c r="E610" s="17" t="s">
        <v>51</v>
      </c>
      <c r="F610" s="19">
        <v>160</v>
      </c>
      <c r="G610" s="20">
        <v>74</v>
      </c>
      <c r="H610" s="12">
        <f>G610/((F610/100)*(F610/100))</f>
      </c>
      <c r="I610" s="11">
        <f>IF(H610&lt;25,0,IF(H610&lt;30,1,2))</f>
      </c>
      <c r="J610" s="18" t="s">
        <v>246</v>
      </c>
      <c r="K610" s="17" t="s">
        <v>237</v>
      </c>
      <c r="L610" s="17" t="s">
        <v>326</v>
      </c>
      <c r="M610" s="17" t="s">
        <v>41</v>
      </c>
      <c r="N610" s="17" t="s">
        <v>179</v>
      </c>
      <c r="O610" s="17" t="s">
        <v>239</v>
      </c>
      <c r="P610" s="17" t="s">
        <v>81</v>
      </c>
      <c r="Q610" s="10">
        <f>IF(P610="None of the above",0,2)</f>
      </c>
      <c r="R610" s="17" t="s">
        <v>89</v>
      </c>
      <c r="S610" s="17" t="s">
        <v>42</v>
      </c>
      <c r="T610" s="17" t="s">
        <v>43</v>
      </c>
      <c r="U610" s="10">
        <f>IF(T610="Heavy physical",0,IF(T610="Moderate activity",1,2))</f>
      </c>
      <c r="V610" s="18" t="s">
        <v>44</v>
      </c>
      <c r="W610" s="10">
        <f>IF(V610="7–8 hours",0,IF(V610="6–7 hours",1,2))</f>
      </c>
      <c r="X610" s="17" t="s">
        <v>45</v>
      </c>
      <c r="Y610" s="17" t="s">
        <v>64</v>
      </c>
      <c r="Z610" s="17" t="s">
        <v>45</v>
      </c>
      <c r="AA610" s="17" t="s">
        <v>42</v>
      </c>
      <c r="AB610" s="17" t="s">
        <v>42</v>
      </c>
      <c r="AC610" s="17" t="s">
        <v>245</v>
      </c>
      <c r="AD610" s="10">
        <f>I610 + Q610 + U610 + W610</f>
      </c>
      <c r="AE610" s="10">
        <f>IF(AD610&lt;=2,0,IF(AD610&lt;=5,1,2))</f>
      </c>
      <c r="AF610" s="7"/>
    </row>
    <row x14ac:dyDescent="0.25" r="611" customHeight="1" ht="17.25" hidden="1">
      <c r="A611" s="17" t="s">
        <v>251</v>
      </c>
      <c r="B611" s="17" t="s">
        <v>252</v>
      </c>
      <c r="C611" s="17" t="s">
        <v>33</v>
      </c>
      <c r="D611" s="18" t="s">
        <v>274</v>
      </c>
      <c r="E611" s="17" t="s">
        <v>34</v>
      </c>
      <c r="F611" s="19">
        <v>151</v>
      </c>
      <c r="G611" s="20">
        <v>44</v>
      </c>
      <c r="H611" s="12">
        <f>G611/((F611/100)*(F611/100))</f>
      </c>
      <c r="I611" s="11">
        <f>IF(H611&lt;25,0,IF(H611&lt;30,1,2))</f>
      </c>
      <c r="J611" s="18" t="s">
        <v>246</v>
      </c>
      <c r="K611" s="17" t="s">
        <v>237</v>
      </c>
      <c r="L611" s="17" t="s">
        <v>243</v>
      </c>
      <c r="M611" s="17" t="s">
        <v>37</v>
      </c>
      <c r="N611" s="17" t="s">
        <v>38</v>
      </c>
      <c r="O611" s="17" t="s">
        <v>258</v>
      </c>
      <c r="P611" s="17" t="s">
        <v>81</v>
      </c>
      <c r="Q611" s="10">
        <f>IF(P611="None of the above",0,2)</f>
      </c>
      <c r="R611" s="17" t="s">
        <v>56</v>
      </c>
      <c r="S611" s="17" t="s">
        <v>42</v>
      </c>
      <c r="T611" s="17" t="s">
        <v>327</v>
      </c>
      <c r="U611" s="10">
        <f>IF(T611="Heavy physical",0,IF(T611="Moderate activity",1,2))</f>
      </c>
      <c r="V611" s="18" t="s">
        <v>69</v>
      </c>
      <c r="W611" s="10">
        <f>IF(V611="7–8 hours",0,IF(V611="6–7 hours",1,2))</f>
      </c>
      <c r="X611" s="17" t="s">
        <v>45</v>
      </c>
      <c r="Y611" s="17" t="s">
        <v>328</v>
      </c>
      <c r="Z611" s="17" t="s">
        <v>45</v>
      </c>
      <c r="AA611" s="17" t="s">
        <v>42</v>
      </c>
      <c r="AB611" s="17" t="s">
        <v>42</v>
      </c>
      <c r="AC611" s="17" t="s">
        <v>247</v>
      </c>
      <c r="AD611" s="10">
        <f>I611 + Q611 + U611 + W611</f>
      </c>
      <c r="AE611" s="10">
        <f>IF(AD611&lt;=2,0,IF(AD611&lt;=5,1,2))</f>
      </c>
      <c r="AF611" s="7"/>
    </row>
    <row x14ac:dyDescent="0.25" r="612" customHeight="1" ht="17.25">
      <c r="A612" s="17" t="s">
        <v>251</v>
      </c>
      <c r="B612" s="17" t="s">
        <v>252</v>
      </c>
      <c r="C612" s="17" t="s">
        <v>50</v>
      </c>
      <c r="D612" s="18" t="s">
        <v>242</v>
      </c>
      <c r="E612" s="17" t="s">
        <v>51</v>
      </c>
      <c r="F612" s="19">
        <v>178</v>
      </c>
      <c r="G612" s="20">
        <v>55</v>
      </c>
      <c r="H612" s="12">
        <f>G612/((F612/100)*(F612/100))</f>
      </c>
      <c r="I612" s="11">
        <f>IF(H612&lt;25,0,IF(H612&lt;30,1,2))</f>
      </c>
      <c r="J612" s="18" t="s">
        <v>246</v>
      </c>
      <c r="K612" s="17" t="s">
        <v>237</v>
      </c>
      <c r="L612" s="17" t="s">
        <v>282</v>
      </c>
      <c r="M612" s="17" t="s">
        <v>37</v>
      </c>
      <c r="N612" s="17" t="s">
        <v>201</v>
      </c>
      <c r="O612" s="17" t="s">
        <v>239</v>
      </c>
      <c r="P612" s="17" t="s">
        <v>196</v>
      </c>
      <c r="Q612" s="10">
        <f>IF(P612="None of the above",0,2)</f>
      </c>
      <c r="R612" s="17" t="s">
        <v>56</v>
      </c>
      <c r="S612" s="17" t="s">
        <v>42</v>
      </c>
      <c r="T612" s="17" t="s">
        <v>43</v>
      </c>
      <c r="U612" s="10">
        <f>IF(T612="Heavy physical",0,IF(T612="Moderate activity",1,2))</f>
      </c>
      <c r="V612" s="18" t="s">
        <v>69</v>
      </c>
      <c r="W612" s="10">
        <f>IF(V612="7–8 hours",0,IF(V612="6–7 hours",1,2))</f>
      </c>
      <c r="X612" s="17" t="s">
        <v>45</v>
      </c>
      <c r="Y612" s="17" t="s">
        <v>46</v>
      </c>
      <c r="Z612" s="17" t="s">
        <v>45</v>
      </c>
      <c r="AA612" s="17" t="s">
        <v>42</v>
      </c>
      <c r="AB612" s="17" t="s">
        <v>42</v>
      </c>
      <c r="AC612" s="17" t="s">
        <v>245</v>
      </c>
      <c r="AD612" s="10">
        <f>I612 + Q612 + U612 + W612</f>
      </c>
      <c r="AE612" s="10">
        <f>IF(AD612&lt;=2,0,IF(AD612&lt;=5,1,2))</f>
      </c>
      <c r="AF612" s="7"/>
    </row>
    <row x14ac:dyDescent="0.25" r="613" customHeight="1" ht="17.25">
      <c r="A613" s="17" t="s">
        <v>325</v>
      </c>
      <c r="B613" s="17" t="s">
        <v>252</v>
      </c>
      <c r="C613" s="17" t="s">
        <v>206</v>
      </c>
      <c r="D613" s="18" t="s">
        <v>249</v>
      </c>
      <c r="E613" s="17" t="s">
        <v>51</v>
      </c>
      <c r="F613" s="19">
        <v>165</v>
      </c>
      <c r="G613" s="20">
        <v>55</v>
      </c>
      <c r="H613" s="12">
        <f>G613/((F613/100)*(F613/100))</f>
      </c>
      <c r="I613" s="11">
        <f>IF(H613&lt;25,0,IF(H613&lt;30,1,2))</f>
      </c>
      <c r="J613" s="18" t="s">
        <v>263</v>
      </c>
      <c r="K613" s="17" t="s">
        <v>237</v>
      </c>
      <c r="L613" s="17" t="s">
        <v>121</v>
      </c>
      <c r="M613" s="17" t="s">
        <v>37</v>
      </c>
      <c r="N613" s="17" t="s">
        <v>201</v>
      </c>
      <c r="O613" s="17" t="s">
        <v>239</v>
      </c>
      <c r="P613" s="17" t="s">
        <v>196</v>
      </c>
      <c r="Q613" s="10">
        <f>IF(P613="None of the above",0,2)</f>
      </c>
      <c r="R613" s="17" t="s">
        <v>41</v>
      </c>
      <c r="S613" s="17" t="s">
        <v>42</v>
      </c>
      <c r="T613" s="17" t="s">
        <v>82</v>
      </c>
      <c r="U613" s="10">
        <f>IF(T613="Heavy physical",0,IF(T613="Moderate activity",1,2))</f>
      </c>
      <c r="V613" s="18" t="s">
        <v>69</v>
      </c>
      <c r="W613" s="10">
        <f>IF(V613="7–8 hours",0,IF(V613="6–7 hours",1,2))</f>
      </c>
      <c r="X613" s="17" t="s">
        <v>45</v>
      </c>
      <c r="Y613" s="17" t="s">
        <v>75</v>
      </c>
      <c r="Z613" s="17" t="s">
        <v>45</v>
      </c>
      <c r="AA613" s="17" t="s">
        <v>42</v>
      </c>
      <c r="AB613" s="17" t="s">
        <v>42</v>
      </c>
      <c r="AC613" s="17" t="s">
        <v>245</v>
      </c>
      <c r="AD613" s="10">
        <f>I613 + Q613 + U613 + W613</f>
      </c>
      <c r="AE613" s="10">
        <f>IF(AD613&lt;=2,0,IF(AD613&lt;=5,1,2))</f>
      </c>
      <c r="AF613" s="7"/>
    </row>
    <row x14ac:dyDescent="0.25" r="614" customHeight="1" ht="17.25">
      <c r="A614" s="17" t="s">
        <v>251</v>
      </c>
      <c r="B614" s="17" t="s">
        <v>252</v>
      </c>
      <c r="C614" s="17" t="s">
        <v>202</v>
      </c>
      <c r="D614" s="18" t="s">
        <v>242</v>
      </c>
      <c r="E614" s="17" t="s">
        <v>51</v>
      </c>
      <c r="F614" s="19">
        <v>165</v>
      </c>
      <c r="G614" s="20">
        <v>42</v>
      </c>
      <c r="H614" s="12">
        <f>G614/((F614/100)*(F614/100))</f>
      </c>
      <c r="I614" s="11">
        <f>IF(H614&lt;25,0,IF(H614&lt;30,1,2))</f>
      </c>
      <c r="J614" s="18" t="s">
        <v>246</v>
      </c>
      <c r="K614" s="17" t="s">
        <v>237</v>
      </c>
      <c r="L614" s="17" t="s">
        <v>36</v>
      </c>
      <c r="M614" s="17" t="s">
        <v>185</v>
      </c>
      <c r="N614" s="17" t="s">
        <v>38</v>
      </c>
      <c r="O614" s="17" t="s">
        <v>239</v>
      </c>
      <c r="P614" s="17" t="s">
        <v>196</v>
      </c>
      <c r="Q614" s="10">
        <f>IF(P614="None of the above",0,2)</f>
      </c>
      <c r="R614" s="17" t="s">
        <v>56</v>
      </c>
      <c r="S614" s="17" t="s">
        <v>42</v>
      </c>
      <c r="T614" s="17" t="s">
        <v>43</v>
      </c>
      <c r="U614" s="10">
        <f>IF(T614="Heavy physical",0,IF(T614="Moderate activity",1,2))</f>
      </c>
      <c r="V614" s="18" t="s">
        <v>69</v>
      </c>
      <c r="W614" s="10">
        <f>IF(V614="7–8 hours",0,IF(V614="6–7 hours",1,2))</f>
      </c>
      <c r="X614" s="17" t="s">
        <v>45</v>
      </c>
      <c r="Y614" s="17" t="s">
        <v>64</v>
      </c>
      <c r="Z614" s="17" t="s">
        <v>45</v>
      </c>
      <c r="AA614" s="17" t="s">
        <v>42</v>
      </c>
      <c r="AB614" s="17" t="s">
        <v>42</v>
      </c>
      <c r="AC614" s="17" t="s">
        <v>245</v>
      </c>
      <c r="AD614" s="10">
        <f>I614 + Q614 + U614 + W614</f>
      </c>
      <c r="AE614" s="10">
        <f>IF(AD614&lt;=2,0,IF(AD614&lt;=5,1,2))</f>
      </c>
      <c r="AF614" s="7"/>
    </row>
    <row x14ac:dyDescent="0.25" r="615" customHeight="1" ht="17.25">
      <c r="A615" s="17" t="s">
        <v>251</v>
      </c>
      <c r="B615" s="17" t="s">
        <v>252</v>
      </c>
      <c r="C615" s="17" t="s">
        <v>33</v>
      </c>
      <c r="D615" s="18" t="s">
        <v>274</v>
      </c>
      <c r="E615" s="17" t="s">
        <v>34</v>
      </c>
      <c r="F615" s="19">
        <v>163</v>
      </c>
      <c r="G615" s="20">
        <v>46</v>
      </c>
      <c r="H615" s="12">
        <f>G615/((F615/100)*(F615/100))</f>
      </c>
      <c r="I615" s="11">
        <f>IF(H615&lt;25,0,IF(H615&lt;30,1,2))</f>
      </c>
      <c r="J615" s="18" t="s">
        <v>246</v>
      </c>
      <c r="K615" s="17" t="s">
        <v>237</v>
      </c>
      <c r="L615" s="17" t="s">
        <v>243</v>
      </c>
      <c r="M615" s="17" t="s">
        <v>185</v>
      </c>
      <c r="N615" s="17" t="s">
        <v>179</v>
      </c>
      <c r="O615" s="17" t="s">
        <v>239</v>
      </c>
      <c r="P615" s="17" t="s">
        <v>196</v>
      </c>
      <c r="Q615" s="10">
        <f>IF(P615="None of the above",0,2)</f>
      </c>
      <c r="R615" s="17" t="s">
        <v>89</v>
      </c>
      <c r="S615" s="17" t="s">
        <v>42</v>
      </c>
      <c r="T615" s="17" t="s">
        <v>43</v>
      </c>
      <c r="U615" s="10">
        <f>IF(T615="Heavy physical",0,IF(T615="Moderate activity",1,2))</f>
      </c>
      <c r="V615" s="18" t="s">
        <v>44</v>
      </c>
      <c r="W615" s="10">
        <f>IF(V615="7–8 hours",0,IF(V615="6–7 hours",1,2))</f>
      </c>
      <c r="X615" s="17" t="s">
        <v>45</v>
      </c>
      <c r="Y615" s="17" t="s">
        <v>64</v>
      </c>
      <c r="Z615" s="17" t="s">
        <v>45</v>
      </c>
      <c r="AA615" s="17" t="s">
        <v>42</v>
      </c>
      <c r="AB615" s="17" t="s">
        <v>42</v>
      </c>
      <c r="AC615" s="17" t="s">
        <v>247</v>
      </c>
      <c r="AD615" s="10">
        <f>I615 + Q615 + U615 + W615</f>
      </c>
      <c r="AE615" s="10">
        <f>IF(AD615&lt;=2,0,IF(AD615&lt;=5,1,2))</f>
      </c>
      <c r="AF615" s="7"/>
    </row>
    <row x14ac:dyDescent="0.25" r="616" customHeight="1" ht="17.25">
      <c r="A616" s="17" t="s">
        <v>251</v>
      </c>
      <c r="B616" s="17" t="s">
        <v>241</v>
      </c>
      <c r="C616" s="17" t="s">
        <v>122</v>
      </c>
      <c r="D616" s="18" t="s">
        <v>274</v>
      </c>
      <c r="E616" s="17" t="s">
        <v>34</v>
      </c>
      <c r="F616" s="19">
        <v>160</v>
      </c>
      <c r="G616" s="20">
        <v>55</v>
      </c>
      <c r="H616" s="12">
        <f>G616/((F616/100)*(F616/100))</f>
      </c>
      <c r="I616" s="11">
        <f>IF(H616&lt;25,0,IF(H616&lt;30,1,2))</f>
      </c>
      <c r="J616" s="18" t="s">
        <v>236</v>
      </c>
      <c r="K616" s="17" t="s">
        <v>237</v>
      </c>
      <c r="L616" s="17" t="s">
        <v>260</v>
      </c>
      <c r="M616" s="17" t="s">
        <v>185</v>
      </c>
      <c r="N616" s="17" t="s">
        <v>179</v>
      </c>
      <c r="O616" s="17" t="s">
        <v>272</v>
      </c>
      <c r="P616" s="17" t="s">
        <v>196</v>
      </c>
      <c r="Q616" s="10">
        <f>IF(P616="None of the above",0,2)</f>
      </c>
      <c r="R616" s="17" t="s">
        <v>56</v>
      </c>
      <c r="S616" s="17" t="s">
        <v>42</v>
      </c>
      <c r="T616" s="17" t="s">
        <v>43</v>
      </c>
      <c r="U616" s="10">
        <f>IF(T616="Heavy physical",0,IF(T616="Moderate activity",1,2))</f>
      </c>
      <c r="V616" s="18" t="s">
        <v>69</v>
      </c>
      <c r="W616" s="10">
        <f>IF(V616="7–8 hours",0,IF(V616="6–7 hours",1,2))</f>
      </c>
      <c r="X616" s="17" t="s">
        <v>70</v>
      </c>
      <c r="Y616" s="17" t="s">
        <v>75</v>
      </c>
      <c r="Z616" s="17" t="s">
        <v>65</v>
      </c>
      <c r="AA616" s="17" t="s">
        <v>42</v>
      </c>
      <c r="AB616" s="17" t="s">
        <v>42</v>
      </c>
      <c r="AC616" s="17" t="s">
        <v>247</v>
      </c>
      <c r="AD616" s="10">
        <f>I616 + Q616 + U616 + W616</f>
      </c>
      <c r="AE616" s="10">
        <f>IF(AD616&lt;=2,0,IF(AD616&lt;=5,1,2))</f>
      </c>
      <c r="AF616" s="7"/>
    </row>
    <row x14ac:dyDescent="0.25" r="617" customHeight="1" ht="17.25">
      <c r="A617" s="17" t="s">
        <v>251</v>
      </c>
      <c r="B617" s="17" t="s">
        <v>233</v>
      </c>
      <c r="C617" s="17" t="s">
        <v>50</v>
      </c>
      <c r="D617" s="18" t="s">
        <v>249</v>
      </c>
      <c r="E617" s="17" t="s">
        <v>51</v>
      </c>
      <c r="F617" s="19">
        <v>175</v>
      </c>
      <c r="G617" s="20">
        <v>60</v>
      </c>
      <c r="H617" s="12">
        <f>G617/((F617/100)*(F617/100))</f>
      </c>
      <c r="I617" s="11">
        <f>IF(H617&lt;25,0,IF(H617&lt;30,1,2))</f>
      </c>
      <c r="J617" s="18" t="s">
        <v>236</v>
      </c>
      <c r="K617" s="17" t="s">
        <v>237</v>
      </c>
      <c r="L617" s="17" t="s">
        <v>305</v>
      </c>
      <c r="M617" s="17" t="s">
        <v>185</v>
      </c>
      <c r="N617" s="17" t="s">
        <v>38</v>
      </c>
      <c r="O617" s="17" t="s">
        <v>239</v>
      </c>
      <c r="P617" s="17" t="s">
        <v>196</v>
      </c>
      <c r="Q617" s="10">
        <f>IF(P617="None of the above",0,2)</f>
      </c>
      <c r="R617" s="17" t="s">
        <v>56</v>
      </c>
      <c r="S617" s="17" t="s">
        <v>42</v>
      </c>
      <c r="T617" s="17" t="s">
        <v>82</v>
      </c>
      <c r="U617" s="10">
        <f>IF(T617="Heavy physical",0,IF(T617="Moderate activity",1,2))</f>
      </c>
      <c r="V617" s="18" t="s">
        <v>44</v>
      </c>
      <c r="W617" s="10">
        <f>IF(V617="7–8 hours",0,IF(V617="6–7 hours",1,2))</f>
      </c>
      <c r="X617" s="17" t="s">
        <v>83</v>
      </c>
      <c r="Y617" s="17" t="s">
        <v>244</v>
      </c>
      <c r="Z617" s="17" t="s">
        <v>45</v>
      </c>
      <c r="AA617" s="17" t="s">
        <v>42</v>
      </c>
      <c r="AB617" s="17" t="s">
        <v>42</v>
      </c>
      <c r="AC617" s="17" t="s">
        <v>245</v>
      </c>
      <c r="AD617" s="10">
        <f>I617 + Q617 + U617 + W617</f>
      </c>
      <c r="AE617" s="10">
        <f>IF(AD617&lt;=2,0,IF(AD617&lt;=5,1,2))</f>
      </c>
      <c r="AF617" s="7"/>
    </row>
    <row x14ac:dyDescent="0.25" r="618" customHeight="1" ht="17.25">
      <c r="A618" s="17" t="s">
        <v>251</v>
      </c>
      <c r="B618" s="17" t="s">
        <v>241</v>
      </c>
      <c r="C618" s="17" t="s">
        <v>50</v>
      </c>
      <c r="D618" s="18" t="s">
        <v>242</v>
      </c>
      <c r="E618" s="17" t="s">
        <v>51</v>
      </c>
      <c r="F618" s="19">
        <v>174</v>
      </c>
      <c r="G618" s="20">
        <v>57</v>
      </c>
      <c r="H618" s="12">
        <f>G618/((F618/100)*(F618/100))</f>
      </c>
      <c r="I618" s="11">
        <f>IF(H618&lt;25,0,IF(H618&lt;30,1,2))</f>
      </c>
      <c r="J618" s="18" t="s">
        <v>246</v>
      </c>
      <c r="K618" s="17" t="s">
        <v>237</v>
      </c>
      <c r="L618" s="17" t="s">
        <v>311</v>
      </c>
      <c r="M618" s="17" t="s">
        <v>185</v>
      </c>
      <c r="N618" s="17" t="s">
        <v>179</v>
      </c>
      <c r="O618" s="17" t="s">
        <v>239</v>
      </c>
      <c r="P618" s="17" t="s">
        <v>196</v>
      </c>
      <c r="Q618" s="10">
        <f>IF(P618="None of the above",0,2)</f>
      </c>
      <c r="R618" s="17" t="s">
        <v>56</v>
      </c>
      <c r="S618" s="17" t="s">
        <v>42</v>
      </c>
      <c r="T618" s="17" t="s">
        <v>99</v>
      </c>
      <c r="U618" s="10">
        <f>IF(T618="Heavy physical",0,IF(T618="Moderate activity",1,2))</f>
      </c>
      <c r="V618" s="18" t="s">
        <v>57</v>
      </c>
      <c r="W618" s="10">
        <f>IF(V618="7–8 hours",0,IF(V618="6–7 hours",1,2))</f>
      </c>
      <c r="X618" s="17" t="s">
        <v>45</v>
      </c>
      <c r="Y618" s="17" t="s">
        <v>64</v>
      </c>
      <c r="Z618" s="17" t="s">
        <v>45</v>
      </c>
      <c r="AA618" s="17" t="s">
        <v>42</v>
      </c>
      <c r="AB618" s="17" t="s">
        <v>42</v>
      </c>
      <c r="AC618" s="17" t="s">
        <v>245</v>
      </c>
      <c r="AD618" s="10">
        <f>I618 + Q618 + U618 + W618</f>
      </c>
      <c r="AE618" s="10">
        <f>IF(AD618&lt;=2,0,IF(AD618&lt;=5,1,2))</f>
      </c>
      <c r="AF618" s="7"/>
    </row>
    <row x14ac:dyDescent="0.25" r="619" customHeight="1" ht="17.25">
      <c r="A619" s="17" t="s">
        <v>268</v>
      </c>
      <c r="B619" s="17" t="s">
        <v>252</v>
      </c>
      <c r="C619" s="17" t="s">
        <v>234</v>
      </c>
      <c r="D619" s="18" t="s">
        <v>242</v>
      </c>
      <c r="E619" s="17" t="s">
        <v>34</v>
      </c>
      <c r="F619" s="19">
        <v>151</v>
      </c>
      <c r="G619" s="20">
        <v>64</v>
      </c>
      <c r="H619" s="12">
        <f>G619/((F619/100)*(F619/100))</f>
      </c>
      <c r="I619" s="11">
        <f>IF(H619&lt;25,0,IF(H619&lt;30,1,2))</f>
      </c>
      <c r="J619" s="18" t="s">
        <v>246</v>
      </c>
      <c r="K619" s="17" t="s">
        <v>237</v>
      </c>
      <c r="L619" s="17" t="s">
        <v>238</v>
      </c>
      <c r="M619" s="17" t="s">
        <v>37</v>
      </c>
      <c r="N619" s="17" t="s">
        <v>38</v>
      </c>
      <c r="O619" s="17" t="s">
        <v>239</v>
      </c>
      <c r="P619" s="17" t="s">
        <v>196</v>
      </c>
      <c r="Q619" s="10">
        <f>IF(P619="None of the above",0,2)</f>
      </c>
      <c r="R619" s="17" t="s">
        <v>56</v>
      </c>
      <c r="S619" s="17" t="s">
        <v>42</v>
      </c>
      <c r="T619" s="17" t="s">
        <v>99</v>
      </c>
      <c r="U619" s="10">
        <f>IF(T619="Heavy physical",0,IF(T619="Moderate activity",1,2))</f>
      </c>
      <c r="V619" s="18" t="s">
        <v>57</v>
      </c>
      <c r="W619" s="10">
        <f>IF(V619="7–8 hours",0,IF(V619="6–7 hours",1,2))</f>
      </c>
      <c r="X619" s="17" t="s">
        <v>45</v>
      </c>
      <c r="Y619" s="17" t="s">
        <v>46</v>
      </c>
      <c r="Z619" s="17" t="s">
        <v>45</v>
      </c>
      <c r="AA619" s="17" t="s">
        <v>42</v>
      </c>
      <c r="AB619" s="17" t="s">
        <v>48</v>
      </c>
      <c r="AC619" s="17" t="s">
        <v>247</v>
      </c>
      <c r="AD619" s="10">
        <f>I619 + Q619 + U619 + W619</f>
      </c>
      <c r="AE619" s="10">
        <f>IF(AD619&lt;=2,0,IF(AD619&lt;=5,1,2))</f>
      </c>
      <c r="AF619" s="7"/>
    </row>
    <row x14ac:dyDescent="0.25" r="620" customHeight="1" ht="17.25">
      <c r="A620" s="17" t="s">
        <v>251</v>
      </c>
      <c r="B620" s="17" t="s">
        <v>252</v>
      </c>
      <c r="C620" s="17" t="s">
        <v>126</v>
      </c>
      <c r="D620" s="18" t="s">
        <v>242</v>
      </c>
      <c r="E620" s="17" t="s">
        <v>51</v>
      </c>
      <c r="F620" s="19">
        <v>165</v>
      </c>
      <c r="G620" s="20">
        <v>83</v>
      </c>
      <c r="H620" s="12">
        <f>G620/((F620/100)*(F620/100))</f>
      </c>
      <c r="I620" s="11">
        <f>IF(H620&lt;25,0,IF(H620&lt;30,1,2))</f>
      </c>
      <c r="J620" s="18" t="s">
        <v>236</v>
      </c>
      <c r="K620" s="17" t="s">
        <v>237</v>
      </c>
      <c r="L620" s="17" t="s">
        <v>329</v>
      </c>
      <c r="M620" s="17" t="s">
        <v>185</v>
      </c>
      <c r="N620" s="17" t="s">
        <v>179</v>
      </c>
      <c r="O620" s="17" t="s">
        <v>330</v>
      </c>
      <c r="P620" s="17" t="s">
        <v>196</v>
      </c>
      <c r="Q620" s="10">
        <f>IF(P620="None of the above",0,2)</f>
      </c>
      <c r="R620" s="17" t="s">
        <v>56</v>
      </c>
      <c r="S620" s="17" t="s">
        <v>42</v>
      </c>
      <c r="T620" s="17" t="s">
        <v>82</v>
      </c>
      <c r="U620" s="10">
        <f>IF(T620="Heavy physical",0,IF(T620="Moderate activity",1,2))</f>
      </c>
      <c r="V620" s="18" t="s">
        <v>57</v>
      </c>
      <c r="W620" s="10">
        <f>IF(V620="7–8 hours",0,IF(V620="6–7 hours",1,2))</f>
      </c>
      <c r="X620" s="17" t="s">
        <v>83</v>
      </c>
      <c r="Y620" s="17" t="s">
        <v>75</v>
      </c>
      <c r="Z620" s="17" t="s">
        <v>331</v>
      </c>
      <c r="AA620" s="17" t="s">
        <v>42</v>
      </c>
      <c r="AB620" s="17" t="s">
        <v>42</v>
      </c>
      <c r="AC620" s="17" t="s">
        <v>245</v>
      </c>
      <c r="AD620" s="10">
        <f>I620 + Q620 + U620 + W620</f>
      </c>
      <c r="AE620" s="10">
        <f>IF(AD620&lt;=2,0,IF(AD620&lt;=5,1,2))</f>
      </c>
      <c r="AF620" s="7"/>
    </row>
    <row x14ac:dyDescent="0.25" r="621" customHeight="1" ht="17.25">
      <c r="A621" s="17" t="s">
        <v>251</v>
      </c>
      <c r="B621" s="17" t="s">
        <v>248</v>
      </c>
      <c r="C621" s="17" t="s">
        <v>332</v>
      </c>
      <c r="D621" s="18" t="s">
        <v>274</v>
      </c>
      <c r="E621" s="17" t="s">
        <v>34</v>
      </c>
      <c r="F621" s="19">
        <v>152</v>
      </c>
      <c r="G621" s="20">
        <v>50</v>
      </c>
      <c r="H621" s="12">
        <f>G621/((F621/100)*(F621/100))</f>
      </c>
      <c r="I621" s="11">
        <f>IF(H621&lt;25,0,IF(H621&lt;30,1,2))</f>
      </c>
      <c r="J621" s="18" t="s">
        <v>236</v>
      </c>
      <c r="K621" s="17" t="s">
        <v>237</v>
      </c>
      <c r="L621" s="17" t="s">
        <v>238</v>
      </c>
      <c r="M621" s="17" t="s">
        <v>185</v>
      </c>
      <c r="N621" s="17" t="s">
        <v>38</v>
      </c>
      <c r="O621" s="17" t="s">
        <v>239</v>
      </c>
      <c r="P621" s="17" t="s">
        <v>196</v>
      </c>
      <c r="Q621" s="10">
        <f>IF(P621="None of the above",0,2)</f>
      </c>
      <c r="R621" s="17" t="s">
        <v>56</v>
      </c>
      <c r="S621" s="17" t="s">
        <v>48</v>
      </c>
      <c r="T621" s="17" t="s">
        <v>275</v>
      </c>
      <c r="U621" s="10">
        <f>IF(T621="Heavy physical",0,IF(T621="Moderate activity",1,2))</f>
      </c>
      <c r="V621" s="18" t="s">
        <v>57</v>
      </c>
      <c r="W621" s="10">
        <f>IF(V621="7–8 hours",0,IF(V621="6–7 hours",1,2))</f>
      </c>
      <c r="X621" s="17" t="s">
        <v>45</v>
      </c>
      <c r="Y621" s="17" t="s">
        <v>333</v>
      </c>
      <c r="Z621" s="17" t="s">
        <v>287</v>
      </c>
      <c r="AA621" s="17" t="s">
        <v>42</v>
      </c>
      <c r="AB621" s="17" t="s">
        <v>42</v>
      </c>
      <c r="AC621" s="17" t="s">
        <v>240</v>
      </c>
      <c r="AD621" s="10">
        <f>I621 + Q621 + U621 + W621</f>
      </c>
      <c r="AE621" s="10">
        <f>IF(AD621&lt;=2,0,IF(AD621&lt;=5,1,2))</f>
      </c>
      <c r="AF621" s="7"/>
    </row>
    <row x14ac:dyDescent="0.25" r="622" customHeight="1" ht="17.25">
      <c r="A622" s="17" t="s">
        <v>251</v>
      </c>
      <c r="B622" s="17" t="s">
        <v>252</v>
      </c>
      <c r="C622" s="17" t="s">
        <v>253</v>
      </c>
      <c r="D622" s="18" t="s">
        <v>274</v>
      </c>
      <c r="E622" s="17" t="s">
        <v>51</v>
      </c>
      <c r="F622" s="19">
        <v>178</v>
      </c>
      <c r="G622" s="20">
        <v>90</v>
      </c>
      <c r="H622" s="12">
        <f>G622/((F622/100)*(F622/100))</f>
      </c>
      <c r="I622" s="11">
        <f>IF(H622&lt;25,0,IF(H622&lt;30,1,2))</f>
      </c>
      <c r="J622" s="18" t="s">
        <v>246</v>
      </c>
      <c r="K622" s="17" t="s">
        <v>237</v>
      </c>
      <c r="L622" s="17" t="s">
        <v>250</v>
      </c>
      <c r="M622" s="17" t="s">
        <v>54</v>
      </c>
      <c r="N622" s="17" t="s">
        <v>38</v>
      </c>
      <c r="O622" s="17" t="s">
        <v>239</v>
      </c>
      <c r="P622" s="17" t="s">
        <v>196</v>
      </c>
      <c r="Q622" s="10">
        <f>IF(P622="None of the above",0,2)</f>
      </c>
      <c r="R622" s="17" t="s">
        <v>41</v>
      </c>
      <c r="S622" s="17" t="s">
        <v>42</v>
      </c>
      <c r="T622" s="17" t="s">
        <v>43</v>
      </c>
      <c r="U622" s="10">
        <f>IF(T622="Heavy physical",0,IF(T622="Moderate activity",1,2))</f>
      </c>
      <c r="V622" s="18" t="s">
        <v>57</v>
      </c>
      <c r="W622" s="10">
        <f>IF(V622="7–8 hours",0,IF(V622="6–7 hours",1,2))</f>
      </c>
      <c r="X622" s="17" t="s">
        <v>45</v>
      </c>
      <c r="Y622" s="17" t="s">
        <v>64</v>
      </c>
      <c r="Z622" s="17" t="s">
        <v>45</v>
      </c>
      <c r="AA622" s="17" t="s">
        <v>42</v>
      </c>
      <c r="AB622" s="17" t="s">
        <v>42</v>
      </c>
      <c r="AC622" s="17" t="s">
        <v>245</v>
      </c>
      <c r="AD622" s="10">
        <f>I622 + Q622 + U622 + W622</f>
      </c>
      <c r="AE622" s="10">
        <f>IF(AD622&lt;=2,0,IF(AD622&lt;=5,1,2))</f>
      </c>
      <c r="AF622" s="7"/>
    </row>
    <row x14ac:dyDescent="0.25" r="623" customHeight="1" ht="17.25">
      <c r="A623" s="17" t="s">
        <v>251</v>
      </c>
      <c r="B623" s="17" t="s">
        <v>252</v>
      </c>
      <c r="C623" s="17" t="s">
        <v>50</v>
      </c>
      <c r="D623" s="18" t="s">
        <v>242</v>
      </c>
      <c r="E623" s="17" t="s">
        <v>34</v>
      </c>
      <c r="F623" s="19">
        <v>163</v>
      </c>
      <c r="G623" s="20">
        <v>61</v>
      </c>
      <c r="H623" s="12">
        <f>G623/((F623/100)*(F623/100))</f>
      </c>
      <c r="I623" s="11">
        <f>IF(H623&lt;25,0,IF(H623&lt;30,1,2))</f>
      </c>
      <c r="J623" s="18" t="s">
        <v>246</v>
      </c>
      <c r="K623" s="17" t="s">
        <v>237</v>
      </c>
      <c r="L623" s="17" t="s">
        <v>243</v>
      </c>
      <c r="M623" s="17" t="s">
        <v>185</v>
      </c>
      <c r="N623" s="17" t="s">
        <v>201</v>
      </c>
      <c r="O623" s="17" t="s">
        <v>239</v>
      </c>
      <c r="P623" s="17" t="s">
        <v>196</v>
      </c>
      <c r="Q623" s="10">
        <f>IF(P623="None of the above",0,2)</f>
      </c>
      <c r="R623" s="17" t="s">
        <v>56</v>
      </c>
      <c r="S623" s="17" t="s">
        <v>42</v>
      </c>
      <c r="T623" s="17" t="s">
        <v>96</v>
      </c>
      <c r="U623" s="10">
        <f>IF(T623="Heavy physical",0,IF(T623="Moderate activity",1,2))</f>
      </c>
      <c r="V623" s="18" t="s">
        <v>69</v>
      </c>
      <c r="W623" s="10">
        <f>IF(V623="7–8 hours",0,IF(V623="6–7 hours",1,2))</f>
      </c>
      <c r="X623" s="17" t="s">
        <v>45</v>
      </c>
      <c r="Y623" s="17" t="s">
        <v>75</v>
      </c>
      <c r="Z623" s="17" t="s">
        <v>65</v>
      </c>
      <c r="AA623" s="17" t="s">
        <v>42</v>
      </c>
      <c r="AB623" s="17" t="s">
        <v>42</v>
      </c>
      <c r="AC623" s="17" t="s">
        <v>247</v>
      </c>
      <c r="AD623" s="10">
        <f>I623 + Q623 + U623 + W623</f>
      </c>
      <c r="AE623" s="10">
        <f>IF(AD623&lt;=2,0,IF(AD623&lt;=5,1,2))</f>
      </c>
      <c r="AF623" s="7"/>
    </row>
    <row x14ac:dyDescent="0.25" r="624" customHeight="1" ht="17.25">
      <c r="A624" s="17" t="s">
        <v>251</v>
      </c>
      <c r="B624" s="17" t="s">
        <v>252</v>
      </c>
      <c r="C624" s="17" t="s">
        <v>50</v>
      </c>
      <c r="D624" s="18" t="s">
        <v>274</v>
      </c>
      <c r="E624" s="17" t="s">
        <v>51</v>
      </c>
      <c r="F624" s="19">
        <v>144</v>
      </c>
      <c r="G624" s="20">
        <v>55</v>
      </c>
      <c r="H624" s="12">
        <f>G624/((F624/100)*(F624/100))</f>
      </c>
      <c r="I624" s="11">
        <f>IF(H624&lt;25,0,IF(H624&lt;30,1,2))</f>
      </c>
      <c r="J624" s="18" t="s">
        <v>263</v>
      </c>
      <c r="K624" s="17" t="s">
        <v>237</v>
      </c>
      <c r="L624" s="17" t="s">
        <v>129</v>
      </c>
      <c r="M624" s="17" t="s">
        <v>37</v>
      </c>
      <c r="N624" s="17" t="s">
        <v>179</v>
      </c>
      <c r="O624" s="17" t="s">
        <v>239</v>
      </c>
      <c r="P624" s="17" t="s">
        <v>196</v>
      </c>
      <c r="Q624" s="10">
        <f>IF(P624="None of the above",0,2)</f>
      </c>
      <c r="R624" s="17" t="s">
        <v>56</v>
      </c>
      <c r="S624" s="17" t="s">
        <v>48</v>
      </c>
      <c r="T624" s="17" t="s">
        <v>43</v>
      </c>
      <c r="U624" s="10">
        <f>IF(T624="Heavy physical",0,IF(T624="Moderate activity",1,2))</f>
      </c>
      <c r="V624" s="18" t="s">
        <v>69</v>
      </c>
      <c r="W624" s="10">
        <f>IF(V624="7–8 hours",0,IF(V624="6–7 hours",1,2))</f>
      </c>
      <c r="X624" s="17" t="s">
        <v>70</v>
      </c>
      <c r="Y624" s="17" t="s">
        <v>46</v>
      </c>
      <c r="Z624" s="17" t="s">
        <v>45</v>
      </c>
      <c r="AA624" s="17" t="s">
        <v>42</v>
      </c>
      <c r="AB624" s="17" t="s">
        <v>42</v>
      </c>
      <c r="AC624" s="17" t="s">
        <v>245</v>
      </c>
      <c r="AD624" s="10">
        <f>I624 + Q624 + U624 + W624</f>
      </c>
      <c r="AE624" s="10">
        <f>IF(AD624&lt;=2,0,IF(AD624&lt;=5,1,2))</f>
      </c>
      <c r="AF624" s="7"/>
    </row>
    <row x14ac:dyDescent="0.25" r="625" customHeight="1" ht="17.25">
      <c r="A625" s="17" t="s">
        <v>251</v>
      </c>
      <c r="B625" s="17" t="s">
        <v>233</v>
      </c>
      <c r="C625" s="17" t="s">
        <v>126</v>
      </c>
      <c r="D625" s="18" t="s">
        <v>242</v>
      </c>
      <c r="E625" s="17" t="s">
        <v>34</v>
      </c>
      <c r="F625" s="19">
        <v>152</v>
      </c>
      <c r="G625" s="20">
        <v>42</v>
      </c>
      <c r="H625" s="12">
        <f>G625/((F625/100)*(F625/100))</f>
      </c>
      <c r="I625" s="11">
        <f>IF(H625&lt;25,0,IF(H625&lt;30,1,2))</f>
      </c>
      <c r="J625" s="18" t="s">
        <v>246</v>
      </c>
      <c r="K625" s="17" t="s">
        <v>237</v>
      </c>
      <c r="L625" s="17" t="s">
        <v>334</v>
      </c>
      <c r="M625" s="17" t="s">
        <v>37</v>
      </c>
      <c r="N625" s="17" t="s">
        <v>179</v>
      </c>
      <c r="O625" s="17" t="s">
        <v>239</v>
      </c>
      <c r="P625" s="17" t="s">
        <v>196</v>
      </c>
      <c r="Q625" s="10">
        <f>IF(P625="None of the above",0,2)</f>
      </c>
      <c r="R625" s="17" t="s">
        <v>56</v>
      </c>
      <c r="S625" s="17" t="s">
        <v>42</v>
      </c>
      <c r="T625" s="17" t="s">
        <v>43</v>
      </c>
      <c r="U625" s="10">
        <f>IF(T625="Heavy physical",0,IF(T625="Moderate activity",1,2))</f>
      </c>
      <c r="V625" s="18" t="s">
        <v>57</v>
      </c>
      <c r="W625" s="10">
        <f>IF(V625="7–8 hours",0,IF(V625="6–7 hours",1,2))</f>
      </c>
      <c r="X625" s="17" t="s">
        <v>45</v>
      </c>
      <c r="Y625" s="17" t="s">
        <v>75</v>
      </c>
      <c r="Z625" s="17" t="s">
        <v>45</v>
      </c>
      <c r="AA625" s="17" t="s">
        <v>42</v>
      </c>
      <c r="AB625" s="17" t="s">
        <v>42</v>
      </c>
      <c r="AC625" s="17" t="s">
        <v>247</v>
      </c>
      <c r="AD625" s="10">
        <f>I625 + Q625 + U625 + W625</f>
      </c>
      <c r="AE625" s="10">
        <f>IF(AD625&lt;=2,0,IF(AD625&lt;=5,1,2))</f>
      </c>
      <c r="AF625" s="7"/>
    </row>
    <row x14ac:dyDescent="0.25" r="626" customHeight="1" ht="17.25">
      <c r="A626" s="17" t="s">
        <v>251</v>
      </c>
      <c r="B626" s="17" t="s">
        <v>252</v>
      </c>
      <c r="C626" s="17" t="s">
        <v>33</v>
      </c>
      <c r="D626" s="18" t="s">
        <v>242</v>
      </c>
      <c r="E626" s="17" t="s">
        <v>51</v>
      </c>
      <c r="F626" s="19">
        <v>177</v>
      </c>
      <c r="G626" s="20">
        <v>65</v>
      </c>
      <c r="H626" s="12">
        <f>G626/((F626/100)*(F626/100))</f>
      </c>
      <c r="I626" s="11">
        <f>IF(H626&lt;25,0,IF(H626&lt;30,1,2))</f>
      </c>
      <c r="J626" s="18" t="s">
        <v>246</v>
      </c>
      <c r="K626" s="17" t="s">
        <v>237</v>
      </c>
      <c r="L626" s="17" t="s">
        <v>335</v>
      </c>
      <c r="M626" s="17" t="s">
        <v>37</v>
      </c>
      <c r="N626" s="17" t="s">
        <v>38</v>
      </c>
      <c r="O626" s="17" t="s">
        <v>239</v>
      </c>
      <c r="P626" s="17" t="s">
        <v>196</v>
      </c>
      <c r="Q626" s="10">
        <f>IF(P626="None of the above",0,2)</f>
      </c>
      <c r="R626" s="17" t="s">
        <v>41</v>
      </c>
      <c r="S626" s="17" t="s">
        <v>42</v>
      </c>
      <c r="T626" s="17" t="s">
        <v>96</v>
      </c>
      <c r="U626" s="10">
        <f>IF(T626="Heavy physical",0,IF(T626="Moderate activity",1,2))</f>
      </c>
      <c r="V626" s="18" t="s">
        <v>69</v>
      </c>
      <c r="W626" s="10">
        <f>IF(V626="7–8 hours",0,IF(V626="6–7 hours",1,2))</f>
      </c>
      <c r="X626" s="17" t="s">
        <v>45</v>
      </c>
      <c r="Y626" s="17" t="s">
        <v>244</v>
      </c>
      <c r="Z626" s="17" t="s">
        <v>336</v>
      </c>
      <c r="AA626" s="17" t="s">
        <v>42</v>
      </c>
      <c r="AB626" s="17" t="s">
        <v>42</v>
      </c>
      <c r="AC626" s="17" t="s">
        <v>245</v>
      </c>
      <c r="AD626" s="10">
        <f>I626 + Q626 + U626 + W626</f>
      </c>
      <c r="AE626" s="10">
        <f>IF(AD626&lt;=2,0,IF(AD626&lt;=5,1,2))</f>
      </c>
      <c r="AF626" s="7"/>
    </row>
    <row x14ac:dyDescent="0.25" r="627" customHeight="1" ht="17.25">
      <c r="A627" s="17" t="s">
        <v>130</v>
      </c>
      <c r="B627" s="17" t="s">
        <v>252</v>
      </c>
      <c r="C627" s="17" t="s">
        <v>271</v>
      </c>
      <c r="D627" s="18" t="s">
        <v>242</v>
      </c>
      <c r="E627" s="17" t="s">
        <v>34</v>
      </c>
      <c r="F627" s="19">
        <v>163</v>
      </c>
      <c r="G627" s="20">
        <v>60</v>
      </c>
      <c r="H627" s="12">
        <f>G627/((F627/100)*(F627/100))</f>
      </c>
      <c r="I627" s="11">
        <f>IF(H627&lt;25,0,IF(H627&lt;30,1,2))</f>
      </c>
      <c r="J627" s="18" t="s">
        <v>246</v>
      </c>
      <c r="K627" s="17" t="s">
        <v>237</v>
      </c>
      <c r="L627" s="17" t="s">
        <v>337</v>
      </c>
      <c r="M627" s="17" t="s">
        <v>37</v>
      </c>
      <c r="N627" s="17" t="s">
        <v>201</v>
      </c>
      <c r="O627" s="17" t="s">
        <v>239</v>
      </c>
      <c r="P627" s="17" t="s">
        <v>196</v>
      </c>
      <c r="Q627" s="10">
        <f>IF(P627="None of the above",0,2)</f>
      </c>
      <c r="R627" s="17" t="s">
        <v>56</v>
      </c>
      <c r="S627" s="17" t="s">
        <v>42</v>
      </c>
      <c r="T627" s="17" t="s">
        <v>96</v>
      </c>
      <c r="U627" s="10">
        <f>IF(T627="Heavy physical",0,IF(T627="Moderate activity",1,2))</f>
      </c>
      <c r="V627" s="18" t="s">
        <v>69</v>
      </c>
      <c r="W627" s="10">
        <f>IF(V627="7–8 hours",0,IF(V627="6–7 hours",1,2))</f>
      </c>
      <c r="X627" s="17" t="s">
        <v>45</v>
      </c>
      <c r="Y627" s="17" t="s">
        <v>46</v>
      </c>
      <c r="Z627" s="17" t="s">
        <v>65</v>
      </c>
      <c r="AA627" s="17" t="s">
        <v>42</v>
      </c>
      <c r="AB627" s="17" t="s">
        <v>42</v>
      </c>
      <c r="AC627" s="17" t="s">
        <v>240</v>
      </c>
      <c r="AD627" s="10">
        <f>I627 + Q627 + U627 + W627</f>
      </c>
      <c r="AE627" s="10">
        <f>IF(AD627&lt;=2,0,IF(AD627&lt;=5,1,2))</f>
      </c>
      <c r="AF627" s="7"/>
    </row>
    <row x14ac:dyDescent="0.25" r="628" customHeight="1" ht="17.25">
      <c r="A628" s="17" t="s">
        <v>251</v>
      </c>
      <c r="B628" s="17" t="s">
        <v>252</v>
      </c>
      <c r="C628" s="17" t="s">
        <v>50</v>
      </c>
      <c r="D628" s="18" t="s">
        <v>242</v>
      </c>
      <c r="E628" s="17" t="s">
        <v>34</v>
      </c>
      <c r="F628" s="19">
        <v>151</v>
      </c>
      <c r="G628" s="20">
        <v>44</v>
      </c>
      <c r="H628" s="12">
        <f>G628/((F628/100)*(F628/100))</f>
      </c>
      <c r="I628" s="11">
        <f>IF(H628&lt;25,0,IF(H628&lt;30,1,2))</f>
      </c>
      <c r="J628" s="18" t="s">
        <v>246</v>
      </c>
      <c r="K628" s="17" t="s">
        <v>237</v>
      </c>
      <c r="L628" s="17" t="s">
        <v>306</v>
      </c>
      <c r="M628" s="17" t="s">
        <v>54</v>
      </c>
      <c r="N628" s="17" t="s">
        <v>38</v>
      </c>
      <c r="O628" s="17" t="s">
        <v>258</v>
      </c>
      <c r="P628" s="17" t="s">
        <v>196</v>
      </c>
      <c r="Q628" s="10">
        <f>IF(P628="None of the above",0,2)</f>
      </c>
      <c r="R628" s="17" t="s">
        <v>41</v>
      </c>
      <c r="S628" s="17" t="s">
        <v>42</v>
      </c>
      <c r="T628" s="17" t="s">
        <v>327</v>
      </c>
      <c r="U628" s="10">
        <f>IF(T628="Heavy physical",0,IF(T628="Moderate activity",1,2))</f>
      </c>
      <c r="V628" s="18" t="s">
        <v>44</v>
      </c>
      <c r="W628" s="10">
        <f>IF(V628="7–8 hours",0,IF(V628="6–7 hours",1,2))</f>
      </c>
      <c r="X628" s="17" t="s">
        <v>45</v>
      </c>
      <c r="Y628" s="17" t="s">
        <v>46</v>
      </c>
      <c r="Z628" s="17" t="s">
        <v>278</v>
      </c>
      <c r="AA628" s="17" t="s">
        <v>42</v>
      </c>
      <c r="AB628" s="17" t="s">
        <v>42</v>
      </c>
      <c r="AC628" s="17" t="s">
        <v>240</v>
      </c>
      <c r="AD628" s="10">
        <f>I628 + Q628 + U628 + W628</f>
      </c>
      <c r="AE628" s="10">
        <f>IF(AD628&lt;=2,0,IF(AD628&lt;=5,1,2))</f>
      </c>
      <c r="AF628" s="7"/>
    </row>
    <row x14ac:dyDescent="0.25" r="629" customHeight="1" ht="17.25">
      <c r="A629" s="17" t="s">
        <v>251</v>
      </c>
      <c r="B629" s="17" t="s">
        <v>252</v>
      </c>
      <c r="C629" s="17" t="s">
        <v>33</v>
      </c>
      <c r="D629" s="18" t="s">
        <v>242</v>
      </c>
      <c r="E629" s="17" t="s">
        <v>51</v>
      </c>
      <c r="F629" s="19">
        <v>176</v>
      </c>
      <c r="G629" s="20">
        <v>85</v>
      </c>
      <c r="H629" s="12">
        <f>G629/((F629/100)*(F629/100))</f>
      </c>
      <c r="I629" s="11">
        <f>IF(H629&lt;25,0,IF(H629&lt;30,1,2))</f>
      </c>
      <c r="J629" s="18" t="s">
        <v>236</v>
      </c>
      <c r="K629" s="17" t="s">
        <v>237</v>
      </c>
      <c r="L629" s="17" t="s">
        <v>282</v>
      </c>
      <c r="M629" s="17" t="s">
        <v>185</v>
      </c>
      <c r="N629" s="17" t="s">
        <v>201</v>
      </c>
      <c r="O629" s="17" t="s">
        <v>239</v>
      </c>
      <c r="P629" s="17" t="s">
        <v>196</v>
      </c>
      <c r="Q629" s="10">
        <f>IF(P629="None of the above",0,2)</f>
      </c>
      <c r="R629" s="17" t="s">
        <v>56</v>
      </c>
      <c r="S629" s="17" t="s">
        <v>42</v>
      </c>
      <c r="T629" s="17" t="s">
        <v>96</v>
      </c>
      <c r="U629" s="10">
        <f>IF(T629="Heavy physical",0,IF(T629="Moderate activity",1,2))</f>
      </c>
      <c r="V629" s="18" t="s">
        <v>69</v>
      </c>
      <c r="W629" s="10">
        <f>IF(V629="7–8 hours",0,IF(V629="6–7 hours",1,2))</f>
      </c>
      <c r="X629" s="17" t="s">
        <v>70</v>
      </c>
      <c r="Y629" s="17" t="s">
        <v>64</v>
      </c>
      <c r="Z629" s="17" t="s">
        <v>45</v>
      </c>
      <c r="AA629" s="17" t="s">
        <v>42</v>
      </c>
      <c r="AB629" s="17" t="s">
        <v>42</v>
      </c>
      <c r="AC629" s="17" t="s">
        <v>245</v>
      </c>
      <c r="AD629" s="10">
        <f>I629 + Q629 + U629 + W629</f>
      </c>
      <c r="AE629" s="10">
        <f>IF(AD629&lt;=2,0,IF(AD629&lt;=5,1,2))</f>
      </c>
      <c r="AF629" s="7"/>
    </row>
    <row x14ac:dyDescent="0.25" r="630" customHeight="1" ht="17.25">
      <c r="A630" s="17" t="s">
        <v>251</v>
      </c>
      <c r="B630" s="17" t="s">
        <v>233</v>
      </c>
      <c r="C630" s="17" t="s">
        <v>271</v>
      </c>
      <c r="D630" s="18" t="s">
        <v>242</v>
      </c>
      <c r="E630" s="17" t="s">
        <v>51</v>
      </c>
      <c r="F630" s="21">
        <v>170.688</v>
      </c>
      <c r="G630" s="20">
        <v>85</v>
      </c>
      <c r="H630" s="12">
        <f>G630/((F630/100)*(F630/100))</f>
      </c>
      <c r="I630" s="11">
        <f>IF(H630&lt;25,0,IF(H630&lt;30,1,2))</f>
      </c>
      <c r="J630" s="18" t="s">
        <v>263</v>
      </c>
      <c r="K630" s="17" t="s">
        <v>338</v>
      </c>
      <c r="L630" s="17" t="s">
        <v>238</v>
      </c>
      <c r="M630" s="17" t="s">
        <v>185</v>
      </c>
      <c r="N630" s="17" t="s">
        <v>179</v>
      </c>
      <c r="O630" s="17" t="s">
        <v>239</v>
      </c>
      <c r="P630" s="17" t="s">
        <v>196</v>
      </c>
      <c r="Q630" s="10">
        <f>IF(P630="None of the above",0,2)</f>
      </c>
      <c r="R630" s="17" t="s">
        <v>56</v>
      </c>
      <c r="S630" s="17" t="s">
        <v>42</v>
      </c>
      <c r="T630" s="17" t="s">
        <v>43</v>
      </c>
      <c r="U630" s="10">
        <f>IF(T630="Heavy physical",0,IF(T630="Moderate activity",1,2))</f>
      </c>
      <c r="V630" s="18" t="s">
        <v>44</v>
      </c>
      <c r="W630" s="10">
        <f>IF(V630="7–8 hours",0,IF(V630="6–7 hours",1,2))</f>
      </c>
      <c r="X630" s="17" t="s">
        <v>83</v>
      </c>
      <c r="Y630" s="17" t="s">
        <v>75</v>
      </c>
      <c r="Z630" s="17" t="s">
        <v>45</v>
      </c>
      <c r="AA630" s="17" t="s">
        <v>42</v>
      </c>
      <c r="AB630" s="17" t="s">
        <v>42</v>
      </c>
      <c r="AC630" s="17" t="s">
        <v>245</v>
      </c>
      <c r="AD630" s="10">
        <f>I630 + Q630 + U630 + W630</f>
      </c>
      <c r="AE630" s="10">
        <f>IF(AD630&lt;=2,0,IF(AD630&lt;=5,1,2))</f>
      </c>
      <c r="AF630" s="7"/>
    </row>
    <row x14ac:dyDescent="0.25" r="631" customHeight="1" ht="17.25">
      <c r="A631" s="17" t="s">
        <v>251</v>
      </c>
      <c r="B631" s="17" t="s">
        <v>248</v>
      </c>
      <c r="C631" s="17" t="s">
        <v>234</v>
      </c>
      <c r="D631" s="18" t="s">
        <v>242</v>
      </c>
      <c r="E631" s="17" t="s">
        <v>34</v>
      </c>
      <c r="F631" s="19">
        <v>155</v>
      </c>
      <c r="G631" s="20">
        <v>35</v>
      </c>
      <c r="H631" s="12">
        <f>G631/((F631/100)*(F631/100))</f>
      </c>
      <c r="I631" s="11">
        <f>IF(H631&lt;25,0,IF(H631&lt;30,1,2))</f>
      </c>
      <c r="J631" s="18" t="s">
        <v>263</v>
      </c>
      <c r="K631" s="17" t="s">
        <v>237</v>
      </c>
      <c r="L631" s="17" t="s">
        <v>339</v>
      </c>
      <c r="M631" s="17" t="s">
        <v>185</v>
      </c>
      <c r="N631" s="17" t="s">
        <v>38</v>
      </c>
      <c r="O631" s="17" t="s">
        <v>239</v>
      </c>
      <c r="P631" s="17" t="s">
        <v>196</v>
      </c>
      <c r="Q631" s="10">
        <f>IF(P631="None of the above",0,2)</f>
      </c>
      <c r="R631" s="17" t="s">
        <v>56</v>
      </c>
      <c r="S631" s="17" t="s">
        <v>48</v>
      </c>
      <c r="T631" s="17" t="s">
        <v>43</v>
      </c>
      <c r="U631" s="10">
        <f>IF(T631="Heavy physical",0,IF(T631="Moderate activity",1,2))</f>
      </c>
      <c r="V631" s="18" t="s">
        <v>44</v>
      </c>
      <c r="W631" s="10">
        <f>IF(V631="7–8 hours",0,IF(V631="6–7 hours",1,2))</f>
      </c>
      <c r="X631" s="17" t="s">
        <v>45</v>
      </c>
      <c r="Y631" s="17" t="s">
        <v>46</v>
      </c>
      <c r="Z631" s="17" t="s">
        <v>45</v>
      </c>
      <c r="AA631" s="17" t="s">
        <v>42</v>
      </c>
      <c r="AB631" s="17" t="s">
        <v>42</v>
      </c>
      <c r="AC631" s="17" t="s">
        <v>247</v>
      </c>
      <c r="AD631" s="10">
        <f>I631 + Q631 + U631 + W631</f>
      </c>
      <c r="AE631" s="10">
        <f>IF(AD631&lt;=2,0,IF(AD631&lt;=5,1,2))</f>
      </c>
      <c r="AF631" s="7"/>
    </row>
    <row x14ac:dyDescent="0.25" r="632" customHeight="1" ht="17.25">
      <c r="A632" s="17" t="s">
        <v>251</v>
      </c>
      <c r="B632" s="17" t="s">
        <v>252</v>
      </c>
      <c r="C632" s="17" t="s">
        <v>234</v>
      </c>
      <c r="D632" s="18" t="s">
        <v>242</v>
      </c>
      <c r="E632" s="17" t="s">
        <v>34</v>
      </c>
      <c r="F632" s="19">
        <v>150</v>
      </c>
      <c r="G632" s="20">
        <v>36</v>
      </c>
      <c r="H632" s="11">
        <f>G632/((F632/100)*(F632/100))</f>
      </c>
      <c r="I632" s="11">
        <f>IF(H632&lt;25,0,IF(H632&lt;30,1,2))</f>
      </c>
      <c r="J632" s="18" t="s">
        <v>246</v>
      </c>
      <c r="K632" s="17" t="s">
        <v>255</v>
      </c>
      <c r="L632" s="17" t="s">
        <v>340</v>
      </c>
      <c r="M632" s="17" t="s">
        <v>185</v>
      </c>
      <c r="N632" s="17" t="s">
        <v>38</v>
      </c>
      <c r="O632" s="17" t="s">
        <v>258</v>
      </c>
      <c r="P632" s="17" t="s">
        <v>196</v>
      </c>
      <c r="Q632" s="10">
        <f>IF(P632="None of the above",0,2)</f>
      </c>
      <c r="R632" s="17" t="s">
        <v>41</v>
      </c>
      <c r="S632" s="17" t="s">
        <v>48</v>
      </c>
      <c r="T632" s="17" t="s">
        <v>43</v>
      </c>
      <c r="U632" s="10">
        <f>IF(T632="Heavy physical",0,IF(T632="Moderate activity",1,2))</f>
      </c>
      <c r="V632" s="18" t="s">
        <v>97</v>
      </c>
      <c r="W632" s="10">
        <f>IF(V632="7–8 hours",0,IF(V632="6–7 hours",1,2))</f>
      </c>
      <c r="X632" s="17" t="s">
        <v>45</v>
      </c>
      <c r="Y632" s="17" t="s">
        <v>46</v>
      </c>
      <c r="Z632" s="17" t="s">
        <v>45</v>
      </c>
      <c r="AA632" s="17" t="s">
        <v>42</v>
      </c>
      <c r="AB632" s="17" t="s">
        <v>48</v>
      </c>
      <c r="AC632" s="17" t="s">
        <v>247</v>
      </c>
      <c r="AD632" s="10">
        <f>I632 + Q632 + U632 + W632</f>
      </c>
      <c r="AE632" s="10">
        <f>IF(AD632&lt;=2,0,IF(AD632&lt;=5,1,2))</f>
      </c>
      <c r="AF632" s="7"/>
    </row>
    <row x14ac:dyDescent="0.25" r="633" customHeight="1" ht="17.25">
      <c r="A633" s="17" t="s">
        <v>251</v>
      </c>
      <c r="B633" s="17" t="s">
        <v>233</v>
      </c>
      <c r="C633" s="17" t="s">
        <v>50</v>
      </c>
      <c r="D633" s="18" t="s">
        <v>274</v>
      </c>
      <c r="E633" s="17" t="s">
        <v>34</v>
      </c>
      <c r="F633" s="19">
        <v>155</v>
      </c>
      <c r="G633" s="20">
        <v>40</v>
      </c>
      <c r="H633" s="12">
        <f>G633/((F633/100)*(F633/100))</f>
      </c>
      <c r="I633" s="11">
        <f>IF(H633&lt;25,0,IF(H633&lt;30,1,2))</f>
      </c>
      <c r="J633" s="18" t="s">
        <v>246</v>
      </c>
      <c r="K633" s="17" t="s">
        <v>237</v>
      </c>
      <c r="L633" s="17" t="s">
        <v>262</v>
      </c>
      <c r="M633" s="17" t="s">
        <v>37</v>
      </c>
      <c r="N633" s="17" t="s">
        <v>38</v>
      </c>
      <c r="O633" s="17" t="s">
        <v>257</v>
      </c>
      <c r="P633" s="17" t="s">
        <v>196</v>
      </c>
      <c r="Q633" s="10">
        <f>IF(P633="None of the above",0,2)</f>
      </c>
      <c r="R633" s="17" t="s">
        <v>56</v>
      </c>
      <c r="S633" s="17" t="s">
        <v>48</v>
      </c>
      <c r="T633" s="17" t="s">
        <v>99</v>
      </c>
      <c r="U633" s="10">
        <f>IF(T633="Heavy physical",0,IF(T633="Moderate activity",1,2))</f>
      </c>
      <c r="V633" s="18" t="s">
        <v>69</v>
      </c>
      <c r="W633" s="10">
        <f>IF(V633="7–8 hours",0,IF(V633="6–7 hours",1,2))</f>
      </c>
      <c r="X633" s="17" t="s">
        <v>45</v>
      </c>
      <c r="Y633" s="17" t="s">
        <v>276</v>
      </c>
      <c r="Z633" s="17" t="s">
        <v>65</v>
      </c>
      <c r="AA633" s="17" t="s">
        <v>42</v>
      </c>
      <c r="AB633" s="17" t="s">
        <v>42</v>
      </c>
      <c r="AC633" s="17" t="s">
        <v>247</v>
      </c>
      <c r="AD633" s="10">
        <f>I633 + Q633 + U633 + W633</f>
      </c>
      <c r="AE633" s="10">
        <f>IF(AD633&lt;=2,0,IF(AD633&lt;=5,1,2))</f>
      </c>
      <c r="AF633" s="7"/>
    </row>
    <row x14ac:dyDescent="0.25" r="634" customHeight="1" ht="17.25">
      <c r="A634" s="17" t="s">
        <v>268</v>
      </c>
      <c r="B634" s="17" t="s">
        <v>233</v>
      </c>
      <c r="C634" s="17" t="s">
        <v>33</v>
      </c>
      <c r="D634" s="18" t="s">
        <v>242</v>
      </c>
      <c r="E634" s="17" t="s">
        <v>34</v>
      </c>
      <c r="F634" s="19">
        <v>160</v>
      </c>
      <c r="G634" s="20">
        <v>60</v>
      </c>
      <c r="H634" s="12">
        <f>G634/((F634/100)*(F634/100))</f>
      </c>
      <c r="I634" s="11">
        <f>IF(H634&lt;25,0,IF(H634&lt;30,1,2))</f>
      </c>
      <c r="J634" s="18" t="s">
        <v>246</v>
      </c>
      <c r="K634" s="17" t="s">
        <v>237</v>
      </c>
      <c r="L634" s="17" t="s">
        <v>262</v>
      </c>
      <c r="M634" s="17" t="s">
        <v>54</v>
      </c>
      <c r="N634" s="17" t="s">
        <v>179</v>
      </c>
      <c r="O634" s="17" t="s">
        <v>239</v>
      </c>
      <c r="P634" s="17" t="s">
        <v>196</v>
      </c>
      <c r="Q634" s="10">
        <f>IF(P634="None of the above",0,2)</f>
      </c>
      <c r="R634" s="17" t="s">
        <v>56</v>
      </c>
      <c r="S634" s="17" t="s">
        <v>42</v>
      </c>
      <c r="T634" s="17" t="s">
        <v>43</v>
      </c>
      <c r="U634" s="10">
        <f>IF(T634="Heavy physical",0,IF(T634="Moderate activity",1,2))</f>
      </c>
      <c r="V634" s="18" t="s">
        <v>44</v>
      </c>
      <c r="W634" s="10">
        <f>IF(V634="7–8 hours",0,IF(V634="6–7 hours",1,2))</f>
      </c>
      <c r="X634" s="17" t="s">
        <v>45</v>
      </c>
      <c r="Y634" s="17" t="s">
        <v>46</v>
      </c>
      <c r="Z634" s="17" t="s">
        <v>45</v>
      </c>
      <c r="AA634" s="17" t="s">
        <v>42</v>
      </c>
      <c r="AB634" s="17" t="s">
        <v>42</v>
      </c>
      <c r="AC634" s="17" t="s">
        <v>247</v>
      </c>
      <c r="AD634" s="10">
        <f>I634 + Q634 + U634 + W634</f>
      </c>
      <c r="AE634" s="10">
        <f>IF(AD634&lt;=2,0,IF(AD634&lt;=5,1,2))</f>
      </c>
      <c r="AF634" s="7"/>
    </row>
    <row x14ac:dyDescent="0.25" r="635" customHeight="1" ht="17.25">
      <c r="A635" s="17" t="s">
        <v>251</v>
      </c>
      <c r="B635" s="17" t="s">
        <v>233</v>
      </c>
      <c r="C635" s="17" t="s">
        <v>33</v>
      </c>
      <c r="D635" s="18" t="s">
        <v>242</v>
      </c>
      <c r="E635" s="17" t="s">
        <v>51</v>
      </c>
      <c r="F635" s="19">
        <v>168</v>
      </c>
      <c r="G635" s="20">
        <v>70</v>
      </c>
      <c r="H635" s="12">
        <f>G635/((F635/100)*(F635/100))</f>
      </c>
      <c r="I635" s="11">
        <f>IF(H635&lt;25,0,IF(H635&lt;30,1,2))</f>
      </c>
      <c r="J635" s="18" t="s">
        <v>246</v>
      </c>
      <c r="K635" s="17" t="s">
        <v>237</v>
      </c>
      <c r="L635" s="17" t="s">
        <v>265</v>
      </c>
      <c r="M635" s="17" t="s">
        <v>37</v>
      </c>
      <c r="N635" s="17" t="s">
        <v>179</v>
      </c>
      <c r="O635" s="17" t="s">
        <v>239</v>
      </c>
      <c r="P635" s="17" t="s">
        <v>196</v>
      </c>
      <c r="Q635" s="10">
        <f>IF(P635="None of the above",0,2)</f>
      </c>
      <c r="R635" s="17" t="s">
        <v>41</v>
      </c>
      <c r="S635" s="17" t="s">
        <v>42</v>
      </c>
      <c r="T635" s="17" t="s">
        <v>82</v>
      </c>
      <c r="U635" s="10">
        <f>IF(T635="Heavy physical",0,IF(T635="Moderate activity",1,2))</f>
      </c>
      <c r="V635" s="18" t="s">
        <v>57</v>
      </c>
      <c r="W635" s="10">
        <f>IF(V635="7–8 hours",0,IF(V635="6–7 hours",1,2))</f>
      </c>
      <c r="X635" s="17" t="s">
        <v>70</v>
      </c>
      <c r="Y635" s="17" t="s">
        <v>75</v>
      </c>
      <c r="Z635" s="17" t="s">
        <v>45</v>
      </c>
      <c r="AA635" s="17" t="s">
        <v>42</v>
      </c>
      <c r="AB635" s="17" t="s">
        <v>42</v>
      </c>
      <c r="AC635" s="17" t="s">
        <v>245</v>
      </c>
      <c r="AD635" s="10">
        <f>I635 + Q635 + U635 + W635</f>
      </c>
      <c r="AE635" s="10">
        <f>IF(AD635&lt;=2,0,IF(AD635&lt;=5,1,2))</f>
      </c>
      <c r="AF635" s="7"/>
    </row>
    <row x14ac:dyDescent="0.25" r="636" customHeight="1" ht="17.25">
      <c r="A636" s="17" t="s">
        <v>251</v>
      </c>
      <c r="B636" s="17" t="s">
        <v>241</v>
      </c>
      <c r="C636" s="17" t="s">
        <v>126</v>
      </c>
      <c r="D636" s="18" t="s">
        <v>274</v>
      </c>
      <c r="E636" s="17" t="s">
        <v>34</v>
      </c>
      <c r="F636" s="19">
        <v>158</v>
      </c>
      <c r="G636" s="20">
        <v>50</v>
      </c>
      <c r="H636" s="12">
        <f>G636/((F636/100)*(F636/100))</f>
      </c>
      <c r="I636" s="11">
        <f>IF(H636&lt;25,0,IF(H636&lt;30,1,2))</f>
      </c>
      <c r="J636" s="18" t="s">
        <v>246</v>
      </c>
      <c r="K636" s="17" t="s">
        <v>237</v>
      </c>
      <c r="L636" s="17" t="s">
        <v>341</v>
      </c>
      <c r="M636" s="17" t="s">
        <v>54</v>
      </c>
      <c r="N636" s="17" t="s">
        <v>179</v>
      </c>
      <c r="O636" s="17" t="s">
        <v>239</v>
      </c>
      <c r="P636" s="17" t="s">
        <v>196</v>
      </c>
      <c r="Q636" s="10">
        <f>IF(P636="None of the above",0,2)</f>
      </c>
      <c r="R636" s="17" t="s">
        <v>56</v>
      </c>
      <c r="S636" s="17" t="s">
        <v>42</v>
      </c>
      <c r="T636" s="17" t="s">
        <v>43</v>
      </c>
      <c r="U636" s="10">
        <f>IF(T636="Heavy physical",0,IF(T636="Moderate activity",1,2))</f>
      </c>
      <c r="V636" s="18" t="s">
        <v>69</v>
      </c>
      <c r="W636" s="10">
        <f>IF(V636="7–8 hours",0,IF(V636="6–7 hours",1,2))</f>
      </c>
      <c r="X636" s="17" t="s">
        <v>70</v>
      </c>
      <c r="Y636" s="17" t="s">
        <v>75</v>
      </c>
      <c r="Z636" s="17" t="s">
        <v>45</v>
      </c>
      <c r="AA636" s="17" t="s">
        <v>42</v>
      </c>
      <c r="AB636" s="17" t="s">
        <v>42</v>
      </c>
      <c r="AC636" s="17" t="s">
        <v>247</v>
      </c>
      <c r="AD636" s="10">
        <f>I636 + Q636 + U636 + W636</f>
      </c>
      <c r="AE636" s="10">
        <f>IF(AD636&lt;=2,0,IF(AD636&lt;=5,1,2))</f>
      </c>
      <c r="AF636" s="7"/>
    </row>
    <row x14ac:dyDescent="0.25" r="637" customHeight="1" ht="17.25">
      <c r="A637" s="17" t="s">
        <v>281</v>
      </c>
      <c r="B637" s="17" t="s">
        <v>233</v>
      </c>
      <c r="C637" s="17" t="s">
        <v>33</v>
      </c>
      <c r="D637" s="18" t="s">
        <v>242</v>
      </c>
      <c r="E637" s="17" t="s">
        <v>34</v>
      </c>
      <c r="F637" s="19">
        <v>166</v>
      </c>
      <c r="G637" s="20">
        <v>76</v>
      </c>
      <c r="H637" s="12">
        <f>G637/((F637/100)*(F637/100))</f>
      </c>
      <c r="I637" s="11">
        <f>IF(H637&lt;25,0,IF(H637&lt;30,1,2))</f>
      </c>
      <c r="J637" s="18" t="s">
        <v>246</v>
      </c>
      <c r="K637" s="17" t="s">
        <v>237</v>
      </c>
      <c r="L637" s="17" t="s">
        <v>250</v>
      </c>
      <c r="M637" s="17" t="s">
        <v>54</v>
      </c>
      <c r="N637" s="17" t="s">
        <v>38</v>
      </c>
      <c r="O637" s="17" t="s">
        <v>272</v>
      </c>
      <c r="P637" s="17" t="s">
        <v>196</v>
      </c>
      <c r="Q637" s="10">
        <f>IF(P637="None of the above",0,2)</f>
      </c>
      <c r="R637" s="17" t="s">
        <v>41</v>
      </c>
      <c r="S637" s="17" t="s">
        <v>42</v>
      </c>
      <c r="T637" s="17" t="s">
        <v>327</v>
      </c>
      <c r="U637" s="10">
        <f>IF(T637="Heavy physical",0,IF(T637="Moderate activity",1,2))</f>
      </c>
      <c r="V637" s="18" t="s">
        <v>69</v>
      </c>
      <c r="W637" s="10">
        <f>IF(V637="7–8 hours",0,IF(V637="6–7 hours",1,2))</f>
      </c>
      <c r="X637" s="17" t="s">
        <v>45</v>
      </c>
      <c r="Y637" s="17" t="s">
        <v>244</v>
      </c>
      <c r="Z637" s="17" t="s">
        <v>278</v>
      </c>
      <c r="AA637" s="17" t="s">
        <v>42</v>
      </c>
      <c r="AB637" s="17" t="s">
        <v>42</v>
      </c>
      <c r="AC637" s="17" t="s">
        <v>245</v>
      </c>
      <c r="AD637" s="10">
        <f>I637 + Q637 + U637 + W637</f>
      </c>
      <c r="AE637" s="10">
        <f>IF(AD637&lt;=2,0,IF(AD637&lt;=5,1,2))</f>
      </c>
      <c r="AF637" s="7"/>
    </row>
    <row x14ac:dyDescent="0.25" r="638" customHeight="1" ht="17.25">
      <c r="A638" s="17" t="s">
        <v>251</v>
      </c>
      <c r="B638" s="17" t="s">
        <v>241</v>
      </c>
      <c r="C638" s="17" t="s">
        <v>33</v>
      </c>
      <c r="D638" s="18" t="s">
        <v>242</v>
      </c>
      <c r="E638" s="17" t="s">
        <v>34</v>
      </c>
      <c r="F638" s="19">
        <v>165</v>
      </c>
      <c r="G638" s="20">
        <v>65</v>
      </c>
      <c r="H638" s="12">
        <f>G638/((F638/100)*(F638/100))</f>
      </c>
      <c r="I638" s="11">
        <f>IF(H638&lt;25,0,IF(H638&lt;30,1,2))</f>
      </c>
      <c r="J638" s="18" t="s">
        <v>284</v>
      </c>
      <c r="K638" s="17" t="s">
        <v>36</v>
      </c>
      <c r="L638" s="17" t="s">
        <v>299</v>
      </c>
      <c r="M638" s="17" t="s">
        <v>41</v>
      </c>
      <c r="N638" s="17" t="s">
        <v>38</v>
      </c>
      <c r="O638" s="17" t="s">
        <v>258</v>
      </c>
      <c r="P638" s="17" t="s">
        <v>196</v>
      </c>
      <c r="Q638" s="10">
        <f>IF(P638="None of the above",0,2)</f>
      </c>
      <c r="R638" s="17" t="s">
        <v>56</v>
      </c>
      <c r="S638" s="17" t="s">
        <v>48</v>
      </c>
      <c r="T638" s="17" t="s">
        <v>99</v>
      </c>
      <c r="U638" s="10">
        <f>IF(T638="Heavy physical",0,IF(T638="Moderate activity",1,2))</f>
      </c>
      <c r="V638" s="18" t="s">
        <v>69</v>
      </c>
      <c r="W638" s="10">
        <f>IF(V638="7–8 hours",0,IF(V638="6–7 hours",1,2))</f>
      </c>
      <c r="X638" s="17" t="s">
        <v>45</v>
      </c>
      <c r="Y638" s="17" t="s">
        <v>46</v>
      </c>
      <c r="Z638" s="17" t="s">
        <v>287</v>
      </c>
      <c r="AA638" s="17" t="s">
        <v>42</v>
      </c>
      <c r="AB638" s="17" t="s">
        <v>42</v>
      </c>
      <c r="AC638" s="17" t="s">
        <v>247</v>
      </c>
      <c r="AD638" s="10">
        <f>I638 + Q638 + U638 + W638</f>
      </c>
      <c r="AE638" s="10">
        <f>IF(AD638&lt;=2,0,IF(AD638&lt;=5,1,2))</f>
      </c>
      <c r="AF638" s="7"/>
    </row>
    <row x14ac:dyDescent="0.25" r="639" customHeight="1" ht="17.25">
      <c r="A639" s="17" t="s">
        <v>268</v>
      </c>
      <c r="B639" s="17" t="s">
        <v>320</v>
      </c>
      <c r="C639" s="17" t="s">
        <v>33</v>
      </c>
      <c r="D639" s="18" t="s">
        <v>274</v>
      </c>
      <c r="E639" s="17" t="s">
        <v>34</v>
      </c>
      <c r="F639" s="19">
        <v>160</v>
      </c>
      <c r="G639" s="20">
        <v>67</v>
      </c>
      <c r="H639" s="12">
        <f>G639/((F639/100)*(F639/100))</f>
      </c>
      <c r="I639" s="11">
        <f>IF(H639&lt;25,0,IF(H639&lt;30,1,2))</f>
      </c>
      <c r="J639" s="18" t="s">
        <v>246</v>
      </c>
      <c r="K639" s="17" t="s">
        <v>237</v>
      </c>
      <c r="L639" s="17" t="s">
        <v>238</v>
      </c>
      <c r="M639" s="17" t="s">
        <v>54</v>
      </c>
      <c r="N639" s="17" t="s">
        <v>179</v>
      </c>
      <c r="O639" s="17" t="s">
        <v>272</v>
      </c>
      <c r="P639" s="17" t="s">
        <v>196</v>
      </c>
      <c r="Q639" s="10">
        <f>IF(P639="None of the above",0,2)</f>
      </c>
      <c r="R639" s="17" t="s">
        <v>56</v>
      </c>
      <c r="S639" s="17" t="s">
        <v>42</v>
      </c>
      <c r="T639" s="17" t="s">
        <v>96</v>
      </c>
      <c r="U639" s="10">
        <f>IF(T639="Heavy physical",0,IF(T639="Moderate activity",1,2))</f>
      </c>
      <c r="V639" s="18" t="s">
        <v>69</v>
      </c>
      <c r="W639" s="10">
        <f>IF(V639="7–8 hours",0,IF(V639="6–7 hours",1,2))</f>
      </c>
      <c r="X639" s="17" t="s">
        <v>70</v>
      </c>
      <c r="Y639" s="17" t="s">
        <v>75</v>
      </c>
      <c r="Z639" s="17" t="s">
        <v>278</v>
      </c>
      <c r="AA639" s="17" t="s">
        <v>42</v>
      </c>
      <c r="AB639" s="17" t="s">
        <v>42</v>
      </c>
      <c r="AC639" s="17" t="s">
        <v>247</v>
      </c>
      <c r="AD639" s="10">
        <f>I639 + Q639 + U639 + W639</f>
      </c>
      <c r="AE639" s="10">
        <f>IF(AD639&lt;=2,0,IF(AD639&lt;=5,1,2))</f>
      </c>
      <c r="AF639" s="7"/>
    </row>
    <row x14ac:dyDescent="0.25" r="640" customHeight="1" ht="17.25">
      <c r="A640" s="17" t="s">
        <v>251</v>
      </c>
      <c r="B640" s="17" t="s">
        <v>252</v>
      </c>
      <c r="C640" s="17" t="s">
        <v>234</v>
      </c>
      <c r="D640" s="18" t="s">
        <v>274</v>
      </c>
      <c r="E640" s="17" t="s">
        <v>51</v>
      </c>
      <c r="F640" s="19">
        <v>170</v>
      </c>
      <c r="G640" s="20">
        <v>80</v>
      </c>
      <c r="H640" s="12">
        <f>G640/((F640/100)*(F640/100))</f>
      </c>
      <c r="I640" s="11">
        <f>IF(H640&lt;25,0,IF(H640&lt;30,1,2))</f>
      </c>
      <c r="J640" s="18" t="s">
        <v>246</v>
      </c>
      <c r="K640" s="17" t="s">
        <v>237</v>
      </c>
      <c r="L640" s="17" t="s">
        <v>270</v>
      </c>
      <c r="M640" s="17" t="s">
        <v>37</v>
      </c>
      <c r="N640" s="17" t="s">
        <v>38</v>
      </c>
      <c r="O640" s="17" t="s">
        <v>239</v>
      </c>
      <c r="P640" s="17" t="s">
        <v>196</v>
      </c>
      <c r="Q640" s="10">
        <f>IF(P640="None of the above",0,2)</f>
      </c>
      <c r="R640" s="17" t="s">
        <v>56</v>
      </c>
      <c r="S640" s="17" t="s">
        <v>42</v>
      </c>
      <c r="T640" s="17" t="s">
        <v>82</v>
      </c>
      <c r="U640" s="10">
        <f>IF(T640="Heavy physical",0,IF(T640="Moderate activity",1,2))</f>
      </c>
      <c r="V640" s="18" t="s">
        <v>69</v>
      </c>
      <c r="W640" s="10">
        <f>IF(V640="7–8 hours",0,IF(V640="6–7 hours",1,2))</f>
      </c>
      <c r="X640" s="17" t="s">
        <v>83</v>
      </c>
      <c r="Y640" s="17" t="s">
        <v>244</v>
      </c>
      <c r="Z640" s="17" t="s">
        <v>278</v>
      </c>
      <c r="AA640" s="17" t="s">
        <v>42</v>
      </c>
      <c r="AB640" s="17" t="s">
        <v>42</v>
      </c>
      <c r="AC640" s="17" t="s">
        <v>245</v>
      </c>
      <c r="AD640" s="10">
        <f>I640 + Q640 + U640 + W640</f>
      </c>
      <c r="AE640" s="10">
        <f>IF(AD640&lt;=2,0,IF(AD640&lt;=5,1,2))</f>
      </c>
      <c r="AF640" s="7"/>
    </row>
    <row x14ac:dyDescent="0.25" r="641" customHeight="1" ht="17.25" hidden="1">
      <c r="A641" s="17" t="s">
        <v>251</v>
      </c>
      <c r="B641" s="17" t="s">
        <v>233</v>
      </c>
      <c r="C641" s="17" t="s">
        <v>50</v>
      </c>
      <c r="D641" s="18" t="s">
        <v>242</v>
      </c>
      <c r="E641" s="17" t="s">
        <v>51</v>
      </c>
      <c r="F641" s="19">
        <v>163</v>
      </c>
      <c r="G641" s="20">
        <v>58</v>
      </c>
      <c r="H641" s="12">
        <f>G641/((F641/100)*(F641/100))</f>
      </c>
      <c r="I641" s="11">
        <f>IF(H641&lt;25,0,IF(H641&lt;30,1,2))</f>
      </c>
      <c r="J641" s="18" t="s">
        <v>246</v>
      </c>
      <c r="K641" s="17" t="s">
        <v>237</v>
      </c>
      <c r="L641" s="17" t="s">
        <v>262</v>
      </c>
      <c r="M641" s="17" t="s">
        <v>185</v>
      </c>
      <c r="N641" s="17" t="s">
        <v>201</v>
      </c>
      <c r="O641" s="17" t="s">
        <v>239</v>
      </c>
      <c r="P641" s="17" t="s">
        <v>81</v>
      </c>
      <c r="Q641" s="10">
        <f>IF(P641="None of the above",0,2)</f>
      </c>
      <c r="R641" s="17" t="s">
        <v>56</v>
      </c>
      <c r="S641" s="17" t="s">
        <v>42</v>
      </c>
      <c r="T641" s="17" t="s">
        <v>96</v>
      </c>
      <c r="U641" s="10">
        <f>IF(T641="Heavy physical",0,IF(T641="Moderate activity",1,2))</f>
      </c>
      <c r="V641" s="18" t="s">
        <v>69</v>
      </c>
      <c r="W641" s="10">
        <f>IF(V641="7–8 hours",0,IF(V641="6–7 hours",1,2))</f>
      </c>
      <c r="X641" s="17" t="s">
        <v>45</v>
      </c>
      <c r="Y641" s="17" t="s">
        <v>64</v>
      </c>
      <c r="Z641" s="17" t="s">
        <v>45</v>
      </c>
      <c r="AA641" s="17" t="s">
        <v>42</v>
      </c>
      <c r="AB641" s="17" t="s">
        <v>42</v>
      </c>
      <c r="AC641" s="17" t="s">
        <v>245</v>
      </c>
      <c r="AD641" s="10">
        <f>I641 + Q641 + U641 + W641</f>
      </c>
      <c r="AE641" s="10">
        <f>IF(AD641&lt;=2,0,IF(AD641&lt;=5,1,2))</f>
      </c>
      <c r="AF641" s="7"/>
    </row>
    <row x14ac:dyDescent="0.25" r="642" customHeight="1" ht="17.25" hidden="1">
      <c r="A642" s="17" t="s">
        <v>268</v>
      </c>
      <c r="B642" s="17" t="s">
        <v>241</v>
      </c>
      <c r="C642" s="17" t="s">
        <v>33</v>
      </c>
      <c r="D642" s="18" t="s">
        <v>274</v>
      </c>
      <c r="E642" s="17" t="s">
        <v>51</v>
      </c>
      <c r="F642" s="19">
        <v>178</v>
      </c>
      <c r="G642" s="20">
        <v>82</v>
      </c>
      <c r="H642" s="12">
        <f>G642/((F642/100)*(F642/100))</f>
      </c>
      <c r="I642" s="11">
        <f>IF(H642&lt;25,0,IF(H642&lt;30,1,2))</f>
      </c>
      <c r="J642" s="18" t="s">
        <v>236</v>
      </c>
      <c r="K642" s="17" t="s">
        <v>237</v>
      </c>
      <c r="L642" s="17" t="s">
        <v>238</v>
      </c>
      <c r="M642" s="17" t="s">
        <v>54</v>
      </c>
      <c r="N642" s="17" t="s">
        <v>179</v>
      </c>
      <c r="O642" s="17" t="s">
        <v>272</v>
      </c>
      <c r="P642" s="17" t="s">
        <v>55</v>
      </c>
      <c r="Q642" s="10">
        <f>IF(P642="None of the above",0,2)</f>
      </c>
      <c r="R642" s="17" t="s">
        <v>41</v>
      </c>
      <c r="S642" s="17" t="s">
        <v>42</v>
      </c>
      <c r="T642" s="17" t="s">
        <v>99</v>
      </c>
      <c r="U642" s="10">
        <f>IF(T642="Heavy physical",0,IF(T642="Moderate activity",1,2))</f>
      </c>
      <c r="V642" s="18" t="s">
        <v>69</v>
      </c>
      <c r="W642" s="10">
        <f>IF(V642="7–8 hours",0,IF(V642="6–7 hours",1,2))</f>
      </c>
      <c r="X642" s="17" t="s">
        <v>70</v>
      </c>
      <c r="Y642" s="17" t="s">
        <v>75</v>
      </c>
      <c r="Z642" s="17" t="s">
        <v>278</v>
      </c>
      <c r="AA642" s="17" t="s">
        <v>42</v>
      </c>
      <c r="AB642" s="17" t="s">
        <v>42</v>
      </c>
      <c r="AC642" s="17" t="s">
        <v>245</v>
      </c>
      <c r="AD642" s="10">
        <f>I642 + Q642 + U642 + W642</f>
      </c>
      <c r="AE642" s="10">
        <f>IF(AD642&lt;=2,0,IF(AD642&lt;=5,1,2))</f>
      </c>
      <c r="AF642" s="7"/>
    </row>
    <row x14ac:dyDescent="0.25" r="643" customHeight="1" ht="17.25" hidden="1">
      <c r="A643" s="17" t="s">
        <v>281</v>
      </c>
      <c r="B643" s="17" t="s">
        <v>241</v>
      </c>
      <c r="C643" s="17" t="s">
        <v>33</v>
      </c>
      <c r="D643" s="18" t="s">
        <v>274</v>
      </c>
      <c r="E643" s="17" t="s">
        <v>34</v>
      </c>
      <c r="F643" s="19">
        <v>159</v>
      </c>
      <c r="G643" s="20">
        <v>58</v>
      </c>
      <c r="H643" s="12">
        <f>G643/((F643/100)*(F643/100))</f>
      </c>
      <c r="I643" s="11">
        <f>IF(H643&lt;25,0,IF(H643&lt;30,1,2))</f>
      </c>
      <c r="J643" s="18" t="s">
        <v>246</v>
      </c>
      <c r="K643" s="17" t="s">
        <v>237</v>
      </c>
      <c r="L643" s="17" t="s">
        <v>243</v>
      </c>
      <c r="M643" s="17" t="s">
        <v>54</v>
      </c>
      <c r="N643" s="17" t="s">
        <v>38</v>
      </c>
      <c r="O643" s="17" t="s">
        <v>239</v>
      </c>
      <c r="P643" s="17" t="s">
        <v>40</v>
      </c>
      <c r="Q643" s="10">
        <f>IF(P643="None of the above",0,2)</f>
      </c>
      <c r="R643" s="17" t="s">
        <v>89</v>
      </c>
      <c r="S643" s="17" t="s">
        <v>42</v>
      </c>
      <c r="T643" s="17" t="s">
        <v>99</v>
      </c>
      <c r="U643" s="10">
        <f>IF(T643="Heavy physical",0,IF(T643="Moderate activity",1,2))</f>
      </c>
      <c r="V643" s="18" t="s">
        <v>69</v>
      </c>
      <c r="W643" s="10">
        <f>IF(V643="7–8 hours",0,IF(V643="6–7 hours",1,2))</f>
      </c>
      <c r="X643" s="17" t="s">
        <v>45</v>
      </c>
      <c r="Y643" s="17" t="s">
        <v>75</v>
      </c>
      <c r="Z643" s="17" t="s">
        <v>342</v>
      </c>
      <c r="AA643" s="17" t="s">
        <v>42</v>
      </c>
      <c r="AB643" s="17" t="s">
        <v>42</v>
      </c>
      <c r="AC643" s="17" t="s">
        <v>245</v>
      </c>
      <c r="AD643" s="10">
        <f>I643 + Q643 + U643 + W643</f>
      </c>
      <c r="AE643" s="10">
        <f>IF(AD643&lt;=2,0,IF(AD643&lt;=5,1,2))</f>
      </c>
      <c r="AF643" s="7"/>
    </row>
    <row x14ac:dyDescent="0.25" r="644" customHeight="1" ht="17.25" hidden="1">
      <c r="A644" s="17" t="s">
        <v>268</v>
      </c>
      <c r="B644" s="17" t="s">
        <v>241</v>
      </c>
      <c r="C644" s="17" t="s">
        <v>33</v>
      </c>
      <c r="D644" s="18" t="s">
        <v>274</v>
      </c>
      <c r="E644" s="17" t="s">
        <v>34</v>
      </c>
      <c r="F644" s="19">
        <v>153</v>
      </c>
      <c r="G644" s="20">
        <v>45</v>
      </c>
      <c r="H644" s="12">
        <f>G644/((F644/100)*(F644/100))</f>
      </c>
      <c r="I644" s="11">
        <f>IF(H644&lt;25,0,IF(H644&lt;30,1,2))</f>
      </c>
      <c r="J644" s="18" t="s">
        <v>246</v>
      </c>
      <c r="K644" s="17" t="s">
        <v>237</v>
      </c>
      <c r="L644" s="17" t="s">
        <v>282</v>
      </c>
      <c r="M644" s="17" t="s">
        <v>185</v>
      </c>
      <c r="N644" s="17" t="s">
        <v>201</v>
      </c>
      <c r="O644" s="17" t="s">
        <v>239</v>
      </c>
      <c r="P644" s="17" t="s">
        <v>81</v>
      </c>
      <c r="Q644" s="10">
        <f>IF(P644="None of the above",0,2)</f>
      </c>
      <c r="R644" s="17" t="s">
        <v>56</v>
      </c>
      <c r="S644" s="17" t="s">
        <v>42</v>
      </c>
      <c r="T644" s="17" t="s">
        <v>82</v>
      </c>
      <c r="U644" s="10">
        <f>IF(T644="Heavy physical",0,IF(T644="Moderate activity",1,2))</f>
      </c>
      <c r="V644" s="18" t="s">
        <v>69</v>
      </c>
      <c r="W644" s="10">
        <f>IF(V644="7–8 hours",0,IF(V644="6–7 hours",1,2))</f>
      </c>
      <c r="X644" s="17" t="s">
        <v>70</v>
      </c>
      <c r="Y644" s="17" t="s">
        <v>244</v>
      </c>
      <c r="Z644" s="17" t="s">
        <v>45</v>
      </c>
      <c r="AA644" s="17" t="s">
        <v>42</v>
      </c>
      <c r="AB644" s="17" t="s">
        <v>42</v>
      </c>
      <c r="AC644" s="17" t="s">
        <v>240</v>
      </c>
      <c r="AD644" s="10">
        <f>I644 + Q644 + U644 + W644</f>
      </c>
      <c r="AE644" s="10">
        <f>IF(AD644&lt;=2,0,IF(AD644&lt;=5,1,2))</f>
      </c>
      <c r="AF644" s="7"/>
    </row>
    <row x14ac:dyDescent="0.25" r="645" customHeight="1" ht="17.25" hidden="1">
      <c r="A645" s="17" t="s">
        <v>251</v>
      </c>
      <c r="B645" s="17" t="s">
        <v>241</v>
      </c>
      <c r="C645" s="17" t="s">
        <v>50</v>
      </c>
      <c r="D645" s="18" t="s">
        <v>242</v>
      </c>
      <c r="E645" s="17" t="s">
        <v>34</v>
      </c>
      <c r="F645" s="21">
        <v>154.94</v>
      </c>
      <c r="G645" s="20">
        <v>51</v>
      </c>
      <c r="H645" s="12">
        <f>G645/((F645/100)*(F645/100))</f>
      </c>
      <c r="I645" s="11">
        <f>IF(H645&lt;25,0,IF(H645&lt;30,1,2))</f>
      </c>
      <c r="J645" s="18" t="s">
        <v>246</v>
      </c>
      <c r="K645" s="17" t="s">
        <v>237</v>
      </c>
      <c r="L645" s="17" t="s">
        <v>343</v>
      </c>
      <c r="M645" s="17" t="s">
        <v>37</v>
      </c>
      <c r="N645" s="17" t="s">
        <v>38</v>
      </c>
      <c r="O645" s="17" t="s">
        <v>239</v>
      </c>
      <c r="P645" s="17" t="s">
        <v>81</v>
      </c>
      <c r="Q645" s="10">
        <f>IF(P645="None of the above",0,2)</f>
      </c>
      <c r="R645" s="17" t="s">
        <v>56</v>
      </c>
      <c r="S645" s="17" t="s">
        <v>48</v>
      </c>
      <c r="T645" s="17" t="s">
        <v>96</v>
      </c>
      <c r="U645" s="10">
        <f>IF(T645="Heavy physical",0,IF(T645="Moderate activity",1,2))</f>
      </c>
      <c r="V645" s="18" t="s">
        <v>44</v>
      </c>
      <c r="W645" s="10">
        <f>IF(V645="7–8 hours",0,IF(V645="6–7 hours",1,2))</f>
      </c>
      <c r="X645" s="17" t="s">
        <v>45</v>
      </c>
      <c r="Y645" s="17" t="s">
        <v>244</v>
      </c>
      <c r="Z645" s="17" t="s">
        <v>45</v>
      </c>
      <c r="AA645" s="17" t="s">
        <v>42</v>
      </c>
      <c r="AB645" s="17" t="s">
        <v>42</v>
      </c>
      <c r="AC645" s="17" t="s">
        <v>247</v>
      </c>
      <c r="AD645" s="10">
        <f>I645 + Q645 + U645 + W645</f>
      </c>
      <c r="AE645" s="10">
        <f>IF(AD645&lt;=2,0,IF(AD645&lt;=5,1,2))</f>
      </c>
      <c r="AF645" s="7"/>
    </row>
    <row x14ac:dyDescent="0.25" r="646" customHeight="1" ht="17.25" hidden="1">
      <c r="A646" s="17" t="s">
        <v>281</v>
      </c>
      <c r="B646" s="17" t="s">
        <v>252</v>
      </c>
      <c r="C646" s="17" t="s">
        <v>271</v>
      </c>
      <c r="D646" s="18" t="s">
        <v>274</v>
      </c>
      <c r="E646" s="17" t="s">
        <v>34</v>
      </c>
      <c r="F646" s="19">
        <v>163</v>
      </c>
      <c r="G646" s="20">
        <v>98</v>
      </c>
      <c r="H646" s="12">
        <f>G646/((F646/100)*(F646/100))</f>
      </c>
      <c r="I646" s="11">
        <f>IF(H646&lt;25,0,IF(H646&lt;30,1,2))</f>
      </c>
      <c r="J646" s="18" t="s">
        <v>246</v>
      </c>
      <c r="K646" s="17" t="s">
        <v>237</v>
      </c>
      <c r="L646" s="17" t="s">
        <v>341</v>
      </c>
      <c r="M646" s="17" t="s">
        <v>54</v>
      </c>
      <c r="N646" s="17" t="s">
        <v>38</v>
      </c>
      <c r="O646" s="17" t="s">
        <v>239</v>
      </c>
      <c r="P646" s="17" t="s">
        <v>132</v>
      </c>
      <c r="Q646" s="10">
        <f>IF(P646="None of the above",0,2)</f>
      </c>
      <c r="R646" s="17" t="s">
        <v>56</v>
      </c>
      <c r="S646" s="17" t="s">
        <v>42</v>
      </c>
      <c r="T646" s="17" t="s">
        <v>99</v>
      </c>
      <c r="U646" s="10">
        <f>IF(T646="Heavy physical",0,IF(T646="Moderate activity",1,2))</f>
      </c>
      <c r="V646" s="18" t="s">
        <v>69</v>
      </c>
      <c r="W646" s="10">
        <f>IF(V646="7–8 hours",0,IF(V646="6–7 hours",1,2))</f>
      </c>
      <c r="X646" s="17" t="s">
        <v>45</v>
      </c>
      <c r="Y646" s="17" t="s">
        <v>64</v>
      </c>
      <c r="Z646" s="17" t="s">
        <v>65</v>
      </c>
      <c r="AA646" s="17" t="s">
        <v>42</v>
      </c>
      <c r="AB646" s="17" t="s">
        <v>42</v>
      </c>
      <c r="AC646" s="17" t="s">
        <v>245</v>
      </c>
      <c r="AD646" s="10">
        <f>I646 + Q646 + U646 + W646</f>
      </c>
      <c r="AE646" s="10">
        <f>IF(AD646&lt;=2,0,IF(AD646&lt;=5,1,2))</f>
      </c>
      <c r="AF646" s="7"/>
    </row>
    <row x14ac:dyDescent="0.25" r="647" customHeight="1" ht="17.25" hidden="1">
      <c r="A647" s="17" t="s">
        <v>251</v>
      </c>
      <c r="B647" s="17" t="s">
        <v>252</v>
      </c>
      <c r="C647" s="17" t="s">
        <v>33</v>
      </c>
      <c r="D647" s="18" t="s">
        <v>242</v>
      </c>
      <c r="E647" s="17" t="s">
        <v>34</v>
      </c>
      <c r="F647" s="19">
        <v>150</v>
      </c>
      <c r="G647" s="20">
        <v>48</v>
      </c>
      <c r="H647" s="12">
        <f>G647/((F647/100)*(F647/100))</f>
      </c>
      <c r="I647" s="11">
        <f>IF(H647&lt;25,0,IF(H647&lt;30,1,2))</f>
      </c>
      <c r="J647" s="18" t="s">
        <v>236</v>
      </c>
      <c r="K647" s="17" t="s">
        <v>237</v>
      </c>
      <c r="L647" s="17" t="s">
        <v>262</v>
      </c>
      <c r="M647" s="17" t="s">
        <v>37</v>
      </c>
      <c r="N647" s="17" t="s">
        <v>179</v>
      </c>
      <c r="O647" s="17" t="s">
        <v>258</v>
      </c>
      <c r="P647" s="17" t="s">
        <v>81</v>
      </c>
      <c r="Q647" s="10">
        <f>IF(P647="None of the above",0,2)</f>
      </c>
      <c r="R647" s="17" t="s">
        <v>41</v>
      </c>
      <c r="S647" s="17" t="s">
        <v>48</v>
      </c>
      <c r="T647" s="17" t="s">
        <v>43</v>
      </c>
      <c r="U647" s="10">
        <f>IF(T647="Heavy physical",0,IF(T647="Moderate activity",1,2))</f>
      </c>
      <c r="V647" s="18" t="s">
        <v>57</v>
      </c>
      <c r="W647" s="10">
        <f>IF(V647="7–8 hours",0,IF(V647="6–7 hours",1,2))</f>
      </c>
      <c r="X647" s="17" t="s">
        <v>45</v>
      </c>
      <c r="Y647" s="17" t="s">
        <v>46</v>
      </c>
      <c r="Z647" s="17" t="s">
        <v>45</v>
      </c>
      <c r="AA647" s="17" t="s">
        <v>42</v>
      </c>
      <c r="AB647" s="17" t="s">
        <v>42</v>
      </c>
      <c r="AC647" s="17" t="s">
        <v>247</v>
      </c>
      <c r="AD647" s="10">
        <f>I647 + Q647 + U647 + W647</f>
      </c>
      <c r="AE647" s="10">
        <f>IF(AD647&lt;=2,0,IF(AD647&lt;=5,1,2))</f>
      </c>
      <c r="AF647" s="7"/>
    </row>
    <row x14ac:dyDescent="0.25" r="648" customHeight="1" ht="17.25">
      <c r="A648" s="7"/>
      <c r="B648" s="7"/>
      <c r="C648" s="7"/>
      <c r="D648" s="5"/>
      <c r="E648" s="7"/>
      <c r="F648" s="5"/>
      <c r="G648" s="11"/>
      <c r="H648" s="12"/>
      <c r="I648" s="11"/>
      <c r="J648" s="13"/>
      <c r="K648" s="7"/>
      <c r="L648" s="7"/>
      <c r="M648" s="7"/>
      <c r="N648" s="7"/>
      <c r="O648" s="7"/>
      <c r="P648" s="7"/>
      <c r="Q648" s="5"/>
      <c r="R648" s="7"/>
      <c r="S648" s="7"/>
      <c r="T648" s="7"/>
      <c r="U648" s="5"/>
      <c r="V648" s="5"/>
      <c r="W648" s="5"/>
      <c r="X648" s="7"/>
      <c r="Y648" s="7"/>
      <c r="Z648" s="7"/>
      <c r="AA648" s="7"/>
      <c r="AB648" s="7"/>
      <c r="AC648" s="7"/>
      <c r="AD648" s="5"/>
      <c r="AE648" s="5"/>
      <c r="AF648" s="7"/>
    </row>
    <row x14ac:dyDescent="0.25" r="649" customHeight="1" ht="17.25">
      <c r="A649" s="7"/>
      <c r="B649" s="7"/>
      <c r="C649" s="7"/>
      <c r="D649" s="5"/>
      <c r="E649" s="7"/>
      <c r="F649" s="5"/>
      <c r="G649" s="11"/>
      <c r="H649" s="12"/>
      <c r="I649" s="11"/>
      <c r="J649" s="13"/>
      <c r="K649" s="7"/>
      <c r="L649" s="7"/>
      <c r="M649" s="7"/>
      <c r="N649" s="7"/>
      <c r="O649" s="7"/>
      <c r="P649" s="7"/>
      <c r="Q649" s="5"/>
      <c r="R649" s="7"/>
      <c r="S649" s="7"/>
      <c r="T649" s="7"/>
      <c r="U649" s="5"/>
      <c r="V649" s="5"/>
      <c r="W649" s="5"/>
      <c r="X649" s="7"/>
      <c r="Y649" s="7"/>
      <c r="Z649" s="7"/>
      <c r="AA649" s="7"/>
      <c r="AB649" s="7"/>
      <c r="AC649" s="7"/>
      <c r="AD649" s="5"/>
      <c r="AE649" s="5"/>
      <c r="AF649" s="7"/>
    </row>
    <row x14ac:dyDescent="0.25" r="650" customHeight="1" ht="17.25">
      <c r="A650" s="7"/>
      <c r="B650" s="7"/>
      <c r="C650" s="7"/>
      <c r="D650" s="5"/>
      <c r="E650" s="7"/>
      <c r="F650" s="5"/>
      <c r="G650" s="11"/>
      <c r="H650" s="12"/>
      <c r="I650" s="11"/>
      <c r="J650" s="13"/>
      <c r="K650" s="7"/>
      <c r="L650" s="7"/>
      <c r="M650" s="7"/>
      <c r="N650" s="7"/>
      <c r="O650" s="7"/>
      <c r="P650" s="7"/>
      <c r="Q650" s="5"/>
      <c r="R650" s="7"/>
      <c r="S650" s="7"/>
      <c r="T650" s="7"/>
      <c r="U650" s="5"/>
      <c r="V650" s="5"/>
      <c r="W650" s="5"/>
      <c r="X650" s="7"/>
      <c r="Y650" s="7"/>
      <c r="Z650" s="7"/>
      <c r="AA650" s="7"/>
      <c r="AB650" s="7"/>
      <c r="AC650" s="7"/>
      <c r="AD650" s="5"/>
      <c r="AE650" s="5"/>
      <c r="AF650" s="7"/>
    </row>
    <row x14ac:dyDescent="0.25" r="651" customHeight="1" ht="17.25">
      <c r="A651" s="7"/>
      <c r="B651" s="7"/>
      <c r="C651" s="7"/>
      <c r="D651" s="5"/>
      <c r="E651" s="7"/>
      <c r="F651" s="5"/>
      <c r="G651" s="11"/>
      <c r="H651" s="12"/>
      <c r="I651" s="11"/>
      <c r="J651" s="13"/>
      <c r="K651" s="7"/>
      <c r="L651" s="7"/>
      <c r="M651" s="7"/>
      <c r="N651" s="7"/>
      <c r="O651" s="7"/>
      <c r="P651" s="7"/>
      <c r="Q651" s="5"/>
      <c r="R651" s="7"/>
      <c r="S651" s="7"/>
      <c r="T651" s="7"/>
      <c r="U651" s="5"/>
      <c r="V651" s="5"/>
      <c r="W651" s="5"/>
      <c r="X651" s="7"/>
      <c r="Y651" s="7"/>
      <c r="Z651" s="7"/>
      <c r="AA651" s="7"/>
      <c r="AB651" s="7"/>
      <c r="AC651" s="7"/>
      <c r="AD651" s="5"/>
      <c r="AE651" s="5"/>
      <c r="AF651" s="7"/>
    </row>
    <row x14ac:dyDescent="0.25" r="652" customHeight="1" ht="17.25">
      <c r="A652" s="7"/>
      <c r="B652" s="7"/>
      <c r="C652" s="7"/>
      <c r="D652" s="5"/>
      <c r="E652" s="7"/>
      <c r="F652" s="5"/>
      <c r="G652" s="11"/>
      <c r="H652" s="12"/>
      <c r="I652" s="11"/>
      <c r="J652" s="13"/>
      <c r="K652" s="7"/>
      <c r="L652" s="7"/>
      <c r="M652" s="7"/>
      <c r="N652" s="7"/>
      <c r="O652" s="7"/>
      <c r="P652" s="7"/>
      <c r="Q652" s="5"/>
      <c r="R652" s="7"/>
      <c r="S652" s="7"/>
      <c r="T652" s="7"/>
      <c r="U652" s="5"/>
      <c r="V652" s="5"/>
      <c r="W652" s="5"/>
      <c r="X652" s="7"/>
      <c r="Y652" s="7"/>
      <c r="Z652" s="7"/>
      <c r="AA652" s="7"/>
      <c r="AB652" s="7"/>
      <c r="AC652" s="7"/>
      <c r="AD652" s="5"/>
      <c r="AE652" s="5"/>
      <c r="AF652" s="7"/>
    </row>
    <row x14ac:dyDescent="0.25" r="653" customHeight="1" ht="17.25">
      <c r="A653" s="7"/>
      <c r="B653" s="7"/>
      <c r="C653" s="7"/>
      <c r="D653" s="5"/>
      <c r="E653" s="7"/>
      <c r="F653" s="5"/>
      <c r="G653" s="5"/>
      <c r="H653" s="22"/>
      <c r="I653" s="5"/>
      <c r="J653" s="13"/>
      <c r="K653" s="7"/>
      <c r="L653" s="7"/>
      <c r="M653" s="7"/>
      <c r="N653" s="7"/>
      <c r="O653" s="7"/>
      <c r="P653" s="7"/>
      <c r="Q653" s="5"/>
      <c r="R653" s="7"/>
      <c r="S653" s="7"/>
      <c r="T653" s="7"/>
      <c r="U653" s="5"/>
      <c r="V653" s="5"/>
      <c r="W653" s="5"/>
      <c r="X653" s="7"/>
      <c r="Y653" s="7"/>
      <c r="Z653" s="7"/>
      <c r="AA653" s="7"/>
      <c r="AB653" s="7"/>
      <c r="AC653" s="7"/>
      <c r="AD653" s="5"/>
      <c r="AE653" s="5"/>
      <c r="AF653" s="7"/>
    </row>
    <row x14ac:dyDescent="0.25" r="654" customHeight="1" ht="17.25">
      <c r="A654" s="7"/>
      <c r="B654" s="7"/>
      <c r="C654" s="7"/>
      <c r="D654" s="5"/>
      <c r="E654" s="7"/>
      <c r="F654" s="5"/>
      <c r="G654" s="5"/>
      <c r="H654" s="22"/>
      <c r="I654" s="5"/>
      <c r="J654" s="13"/>
      <c r="K654" s="7"/>
      <c r="L654" s="7"/>
      <c r="M654" s="7"/>
      <c r="N654" s="7"/>
      <c r="O654" s="7"/>
      <c r="P654" s="7"/>
      <c r="Q654" s="5"/>
      <c r="R654" s="7"/>
      <c r="S654" s="7"/>
      <c r="T654" s="7"/>
      <c r="U654" s="5"/>
      <c r="V654" s="5"/>
      <c r="W654" s="5"/>
      <c r="X654" s="7"/>
      <c r="Y654" s="7"/>
      <c r="Z654" s="7"/>
      <c r="AA654" s="7"/>
      <c r="AB654" s="7"/>
      <c r="AC654" s="7"/>
      <c r="AD654" s="5"/>
      <c r="AE654" s="5"/>
      <c r="AF654" s="7"/>
    </row>
    <row x14ac:dyDescent="0.25" r="655" customHeight="1" ht="17.25">
      <c r="A655" s="7"/>
      <c r="B655" s="7"/>
      <c r="C655" s="7"/>
      <c r="D655" s="5"/>
      <c r="E655" s="7"/>
      <c r="F655" s="5"/>
      <c r="G655" s="5"/>
      <c r="H655" s="22"/>
      <c r="I655" s="5"/>
      <c r="J655" s="13"/>
      <c r="K655" s="7"/>
      <c r="L655" s="7"/>
      <c r="M655" s="7"/>
      <c r="N655" s="7"/>
      <c r="O655" s="7"/>
      <c r="P655" s="7"/>
      <c r="Q655" s="5"/>
      <c r="R655" s="7"/>
      <c r="S655" s="7"/>
      <c r="T655" s="7"/>
      <c r="U655" s="5"/>
      <c r="V655" s="5"/>
      <c r="W655" s="5"/>
      <c r="X655" s="7"/>
      <c r="Y655" s="7"/>
      <c r="Z655" s="7"/>
      <c r="AA655" s="7"/>
      <c r="AB655" s="7"/>
      <c r="AC655" s="7"/>
      <c r="AD655" s="5"/>
      <c r="AE655" s="5"/>
      <c r="AF655" s="7"/>
    </row>
    <row x14ac:dyDescent="0.25" r="656" customHeight="1" ht="17.25">
      <c r="A656" s="7"/>
      <c r="B656" s="7"/>
      <c r="C656" s="7"/>
      <c r="D656" s="5"/>
      <c r="E656" s="7"/>
      <c r="F656" s="5"/>
      <c r="G656" s="5"/>
      <c r="H656" s="22"/>
      <c r="I656" s="5"/>
      <c r="J656" s="13"/>
      <c r="K656" s="7"/>
      <c r="L656" s="7"/>
      <c r="M656" s="7"/>
      <c r="N656" s="7"/>
      <c r="O656" s="7"/>
      <c r="P656" s="7"/>
      <c r="Q656" s="5"/>
      <c r="R656" s="7"/>
      <c r="S656" s="7"/>
      <c r="T656" s="7"/>
      <c r="U656" s="5"/>
      <c r="V656" s="5"/>
      <c r="W656" s="5"/>
      <c r="X656" s="7"/>
      <c r="Y656" s="7"/>
      <c r="Z656" s="7"/>
      <c r="AA656" s="7"/>
      <c r="AB656" s="7"/>
      <c r="AC656" s="7"/>
      <c r="AD656" s="5"/>
      <c r="AE656" s="5"/>
      <c r="AF656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2026-04-10T04:26:30.020Z</dcterms:created>
  <dcterms:modified xsi:type="dcterms:W3CDTF">2026-04-10T04:26:30.022Z</dcterms:modified>
</cp:coreProperties>
</file>